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namedSheetViews/namedSheetView2.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tables/table3.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namedSheetViews/namedSheetView3.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updateLinks="always" defaultThemeVersion="166925"/>
  <mc:AlternateContent xmlns:mc="http://schemas.openxmlformats.org/markup-compatibility/2006">
    <mc:Choice Requires="x15">
      <x15ac:absPath xmlns:x15ac="http://schemas.microsoft.com/office/spreadsheetml/2010/11/ac" url="https://telefonicacorp.sharepoint.com/sites/brazil/ArquiteturaSeguranca/Repositrio  Arquitetura e Cloud Security/03. Padrões de Arquitetura de Segurança/Requisitos de Segurança/New/"/>
    </mc:Choice>
  </mc:AlternateContent>
  <xr:revisionPtr revIDLastSave="0" documentId="8_{F03E1B6E-03D5-4916-BF7A-06784CFC6443}" xr6:coauthVersionLast="47" xr6:coauthVersionMax="47" xr10:uidLastSave="{00000000-0000-0000-0000-000000000000}"/>
  <bookViews>
    <workbookView xWindow="-110" yWindow="-110" windowWidth="19420" windowHeight="10300" tabRatio="678" firstSheet="13" activeTab="13" xr2:uid="{B3B74189-F899-4903-A2A1-2AA6A56C972B}"/>
  </bookViews>
  <sheets>
    <sheet name="CS-Estruturante" sheetId="17" state="hidden" r:id="rId1"/>
    <sheet name="Servidores" sheetId="8" state="hidden" r:id="rId2"/>
    <sheet name="Versão3" sheetId="5" state="hidden" r:id="rId3"/>
    <sheet name="Versão2" sheetId="3" state="hidden" r:id="rId4"/>
    <sheet name="Versão1" sheetId="1" state="hidden" r:id="rId5"/>
    <sheet name="NewVersion" sheetId="13" state="hidden" r:id="rId6"/>
    <sheet name="Sheet1" sheetId="23" state="hidden" r:id="rId7"/>
    <sheet name="api" sheetId="29" state="hidden" r:id="rId8"/>
    <sheet name="New Version" sheetId="20" state="hidden" r:id="rId9"/>
    <sheet name="Formatação" sheetId="2" state="hidden" r:id="rId10"/>
    <sheet name="Planilha1" sheetId="19" state="hidden" r:id="rId11"/>
    <sheet name="Retirados" sheetId="24" state="hidden" r:id="rId12"/>
    <sheet name="Correlação" sheetId="4" state="hidden" r:id="rId13"/>
    <sheet name="Requisitos" sheetId="28" r:id="rId14"/>
  </sheets>
  <externalReferences>
    <externalReference r:id="rId15"/>
  </externalReferences>
  <definedNames>
    <definedName name="_xlnm._FilterDatabase" localSheetId="8" hidden="1">'New Version'!$A$1:$A$194</definedName>
    <definedName name="_xlnm._FilterDatabase" localSheetId="4" hidden="1">Versão1!$A$1:$M$1</definedName>
    <definedName name="_xlnm._FilterDatabase" localSheetId="3" hidden="1">Versão2!$A$1:$M$47</definedName>
    <definedName name="_xlnm._FilterDatabase" localSheetId="2" hidden="1">Versão3!$A$1:$O$1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6" i="29" l="1"/>
  <c r="Z6" i="29"/>
  <c r="W6" i="29"/>
  <c r="X6" i="29" s="1"/>
  <c r="G6" i="29" a="1"/>
  <c r="G6" i="29"/>
  <c r="E6" i="29" a="1"/>
  <c r="E6" i="29" s="1"/>
  <c r="W5" i="29"/>
  <c r="X5" i="29" s="1"/>
  <c r="G5" i="29" a="1"/>
  <c r="G5" i="29"/>
  <c r="E5" i="29" a="1"/>
  <c r="E5" i="29"/>
  <c r="W4" i="29"/>
  <c r="X4" i="29" s="1"/>
  <c r="G4" i="29" a="1"/>
  <c r="G4" i="29"/>
  <c r="E4" i="29" a="1"/>
  <c r="E4" i="29" s="1"/>
  <c r="AA3" i="29"/>
  <c r="Z3" i="29"/>
  <c r="W3" i="29"/>
  <c r="X3" i="29" s="1"/>
  <c r="G3" i="29" a="1"/>
  <c r="G3" i="29"/>
  <c r="E3" i="29" a="1"/>
  <c r="E3" i="29"/>
  <c r="W2" i="29"/>
  <c r="X2" i="29" s="1"/>
  <c r="G2" i="29" a="1"/>
  <c r="G2" i="29" s="1"/>
  <c r="E2" i="29" a="1"/>
  <c r="E2" i="29"/>
  <c r="W1" i="29"/>
  <c r="X1" i="29" s="1"/>
  <c r="G1" i="29" a="1"/>
  <c r="G1" i="29"/>
  <c r="E1" i="29" a="1"/>
  <c r="E1" i="29"/>
  <c r="W2" i="28"/>
  <c r="X2" i="28" s="1"/>
  <c r="W3" i="28"/>
  <c r="X3" i="28" s="1"/>
  <c r="W4" i="28"/>
  <c r="X4" i="28" s="1"/>
  <c r="W5" i="28"/>
  <c r="X5" i="28" s="1"/>
  <c r="W6" i="28"/>
  <c r="X6" i="28" s="1"/>
  <c r="W7" i="28"/>
  <c r="X7" i="28" s="1"/>
  <c r="W8" i="28"/>
  <c r="X8" i="28" s="1"/>
  <c r="W9" i="28"/>
  <c r="X9" i="28" s="1"/>
  <c r="W10" i="28"/>
  <c r="X10" i="28"/>
  <c r="W11" i="28"/>
  <c r="X11" i="28" s="1"/>
  <c r="W12" i="28"/>
  <c r="X12" i="28" s="1"/>
  <c r="W13" i="28"/>
  <c r="X13" i="28"/>
  <c r="W14" i="28"/>
  <c r="X14" i="28" s="1"/>
  <c r="W15" i="28"/>
  <c r="X15" i="28" s="1"/>
  <c r="W16" i="28"/>
  <c r="X16" i="28" s="1"/>
  <c r="W17" i="28"/>
  <c r="X17" i="28" s="1"/>
  <c r="W18" i="28"/>
  <c r="X18" i="28" s="1"/>
  <c r="W19" i="28"/>
  <c r="X19" i="28" s="1"/>
  <c r="W20" i="28"/>
  <c r="X20" i="28" s="1"/>
  <c r="W21" i="28"/>
  <c r="X21" i="28" s="1"/>
  <c r="W22" i="28"/>
  <c r="X22" i="28" s="1"/>
  <c r="W23" i="28"/>
  <c r="X23" i="28" s="1"/>
  <c r="W24" i="28"/>
  <c r="X24" i="28" s="1"/>
  <c r="W25" i="28"/>
  <c r="X25" i="28" s="1"/>
  <c r="W26" i="28"/>
  <c r="X26" i="28" s="1"/>
  <c r="W27" i="28"/>
  <c r="X27" i="28" s="1"/>
  <c r="W28" i="28"/>
  <c r="X28" i="28"/>
  <c r="W29" i="28"/>
  <c r="X29" i="28" s="1"/>
  <c r="W30" i="28"/>
  <c r="X30" i="28" s="1"/>
  <c r="W31" i="28"/>
  <c r="X31" i="28"/>
  <c r="W32" i="28"/>
  <c r="X32" i="28" s="1"/>
  <c r="W33" i="28"/>
  <c r="X33" i="28" s="1"/>
  <c r="W34" i="28"/>
  <c r="X34" i="28" s="1"/>
  <c r="W35" i="28"/>
  <c r="X35" i="28" s="1"/>
  <c r="W36" i="28"/>
  <c r="X36" i="28" s="1"/>
  <c r="W37" i="28"/>
  <c r="X37" i="28" s="1"/>
  <c r="W38" i="28"/>
  <c r="X38" i="28" s="1"/>
  <c r="W39" i="28"/>
  <c r="X39" i="28" s="1"/>
  <c r="W40" i="28"/>
  <c r="X40" i="28" s="1"/>
  <c r="W41" i="28"/>
  <c r="X41" i="28" s="1"/>
  <c r="W42" i="28"/>
  <c r="X42" i="28" s="1"/>
  <c r="W43" i="28"/>
  <c r="X43" i="28"/>
  <c r="W44" i="28"/>
  <c r="X44" i="28" s="1"/>
  <c r="W45" i="28"/>
  <c r="X45" i="28" s="1"/>
  <c r="W46" i="28"/>
  <c r="X46" i="28"/>
  <c r="W47" i="28"/>
  <c r="X47" i="28" s="1"/>
  <c r="W48" i="28"/>
  <c r="X48" i="28" s="1"/>
  <c r="W49" i="28"/>
  <c r="X49" i="28" s="1"/>
  <c r="W50" i="28"/>
  <c r="X50" i="28" s="1"/>
  <c r="W51" i="28"/>
  <c r="X51" i="28" s="1"/>
  <c r="W52" i="28"/>
  <c r="X52" i="28" s="1"/>
  <c r="W53" i="28"/>
  <c r="X53" i="28" s="1"/>
  <c r="W54" i="28"/>
  <c r="X54" i="28" s="1"/>
  <c r="W55" i="28"/>
  <c r="X55" i="28" s="1"/>
  <c r="W56" i="28"/>
  <c r="X56" i="28" s="1"/>
  <c r="W57" i="28"/>
  <c r="X57" i="28" s="1"/>
  <c r="W58" i="28"/>
  <c r="X58" i="28" s="1"/>
  <c r="W59" i="28"/>
  <c r="X59" i="28" s="1"/>
  <c r="W60" i="28"/>
  <c r="X60" i="28" s="1"/>
  <c r="W61" i="28"/>
  <c r="X61" i="28" s="1"/>
  <c r="W62" i="28"/>
  <c r="X62" i="28" s="1"/>
  <c r="W63" i="28"/>
  <c r="X63" i="28" s="1"/>
  <c r="W64" i="28"/>
  <c r="X64" i="28" s="1"/>
  <c r="W65" i="28"/>
  <c r="X65" i="28" s="1"/>
  <c r="W66" i="28"/>
  <c r="X66" i="28" s="1"/>
  <c r="W67" i="28"/>
  <c r="X67" i="28" s="1"/>
  <c r="W68" i="28"/>
  <c r="X68" i="28" s="1"/>
  <c r="W69" i="28"/>
  <c r="X69" i="28" s="1"/>
  <c r="W70" i="28"/>
  <c r="X70" i="28" s="1"/>
  <c r="W71" i="28"/>
  <c r="X71" i="28" s="1"/>
  <c r="W72" i="28"/>
  <c r="X72" i="28" s="1"/>
  <c r="W73" i="28"/>
  <c r="X73" i="28" s="1"/>
  <c r="W74" i="28"/>
  <c r="X74" i="28"/>
  <c r="W75" i="28"/>
  <c r="X75" i="28" s="1"/>
  <c r="W76" i="28"/>
  <c r="X76" i="28" s="1"/>
  <c r="W77" i="28"/>
  <c r="X77" i="28" s="1"/>
  <c r="AA171" i="28"/>
  <c r="AA231" i="28"/>
  <c r="AA263" i="28"/>
  <c r="AA261" i="28"/>
  <c r="AA218" i="28"/>
  <c r="AA285" i="28"/>
  <c r="AA283" i="28"/>
  <c r="AA288" i="28"/>
  <c r="AA187" i="28"/>
  <c r="AA80" i="28"/>
  <c r="AA102" i="28"/>
  <c r="AA211" i="28"/>
  <c r="AA247" i="28"/>
  <c r="AA132" i="28"/>
  <c r="AA192" i="28"/>
  <c r="AA237" i="28"/>
  <c r="AA135" i="28"/>
  <c r="AA282" i="28"/>
  <c r="AA161" i="28"/>
  <c r="AA181" i="28"/>
  <c r="AA90" i="28"/>
  <c r="AA274" i="28"/>
  <c r="AA111" i="28"/>
  <c r="AA105" i="28"/>
  <c r="AA169" i="28"/>
  <c r="AA280" i="28"/>
  <c r="AA206" i="28"/>
  <c r="AA104" i="28"/>
  <c r="AA158" i="28"/>
  <c r="AA186" i="28"/>
  <c r="AA194" i="28"/>
  <c r="AA134" i="28"/>
  <c r="AA252" i="28"/>
  <c r="AA107" i="28"/>
  <c r="AA202" i="28"/>
  <c r="AA99" i="28"/>
  <c r="AA88" i="28"/>
  <c r="AA249" i="28"/>
  <c r="AA253" i="28"/>
  <c r="AA103" i="28"/>
  <c r="AA172" i="28"/>
  <c r="AA177" i="28"/>
  <c r="AA251" i="28"/>
  <c r="AA256" i="28"/>
  <c r="AA176" i="28"/>
  <c r="AA178" i="28"/>
  <c r="AA174" i="28"/>
  <c r="AA98" i="28"/>
  <c r="AA173" i="28"/>
  <c r="AA179" i="28"/>
  <c r="AA244" i="28"/>
  <c r="AA255" i="28"/>
  <c r="AA245" i="28"/>
  <c r="AA250" i="28"/>
  <c r="AA243" i="28"/>
  <c r="AA277" i="28"/>
  <c r="AA168" i="28"/>
  <c r="AA159" i="28"/>
  <c r="AA170" i="28"/>
  <c r="AA87" i="28"/>
  <c r="AA156" i="28"/>
  <c r="AA140" i="28"/>
  <c r="AA236" i="28"/>
  <c r="AA193" i="28"/>
  <c r="AA242" i="28"/>
  <c r="AA233" i="28"/>
  <c r="AA146" i="28"/>
  <c r="AA129" i="28"/>
  <c r="AA238" i="28"/>
  <c r="Z238" i="28"/>
  <c r="Z171" i="28"/>
  <c r="Z231" i="28"/>
  <c r="Z263" i="28"/>
  <c r="Z261" i="28"/>
  <c r="Z218" i="28"/>
  <c r="Z285" i="28"/>
  <c r="Z283" i="28"/>
  <c r="Z288" i="28"/>
  <c r="Z187" i="28"/>
  <c r="Z80" i="28"/>
  <c r="Z102" i="28"/>
  <c r="Z211" i="28"/>
  <c r="Z247" i="28"/>
  <c r="Z132" i="28"/>
  <c r="Z192" i="28"/>
  <c r="Z237" i="28"/>
  <c r="Z135" i="28"/>
  <c r="Z282" i="28"/>
  <c r="Z161" i="28"/>
  <c r="Z181" i="28"/>
  <c r="Z90" i="28"/>
  <c r="Z274" i="28"/>
  <c r="Z111" i="28"/>
  <c r="Z105" i="28"/>
  <c r="Z169" i="28"/>
  <c r="Z280" i="28"/>
  <c r="Z206" i="28"/>
  <c r="Z104" i="28"/>
  <c r="Z158" i="28"/>
  <c r="Z186" i="28"/>
  <c r="Z194" i="28"/>
  <c r="Z134" i="28"/>
  <c r="Z252" i="28"/>
  <c r="Z107" i="28"/>
  <c r="Z202" i="28"/>
  <c r="Z99" i="28"/>
  <c r="Z88" i="28"/>
  <c r="Z249" i="28"/>
  <c r="Z253" i="28"/>
  <c r="Z103" i="28"/>
  <c r="Z172" i="28"/>
  <c r="Z177" i="28"/>
  <c r="Z251" i="28"/>
  <c r="Z256" i="28"/>
  <c r="Z176" i="28"/>
  <c r="Z178" i="28"/>
  <c r="Z174" i="28"/>
  <c r="Z98" i="28"/>
  <c r="Z173" i="28"/>
  <c r="Z179" i="28"/>
  <c r="Z244" i="28"/>
  <c r="Z255" i="28"/>
  <c r="Z245" i="28"/>
  <c r="Z250" i="28"/>
  <c r="Z243" i="28"/>
  <c r="Z277" i="28"/>
  <c r="Z168" i="28"/>
  <c r="Z159" i="28"/>
  <c r="Z170" i="28"/>
  <c r="Z87" i="28"/>
  <c r="Z156" i="28"/>
  <c r="Z140" i="28"/>
  <c r="Z236" i="28"/>
  <c r="Z193" i="28"/>
  <c r="Z242" i="28"/>
  <c r="Z233" i="28"/>
  <c r="Z146" i="28"/>
  <c r="Z129" i="28"/>
  <c r="E112" i="28" l="1" a="1"/>
  <c r="E112" i="28" s="1"/>
  <c r="G108" i="28" a="1"/>
  <c r="G108" i="28" s="1"/>
  <c r="G109" i="28" a="1"/>
  <c r="G109" i="28" s="1"/>
  <c r="G128" i="28" a="1"/>
  <c r="G128" i="28" s="1"/>
  <c r="G223" i="28" a="1"/>
  <c r="G223" i="28" s="1"/>
  <c r="W108" i="28"/>
  <c r="X108" i="28" s="1"/>
  <c r="W109" i="28"/>
  <c r="X109" i="28" s="1"/>
  <c r="W128" i="28"/>
  <c r="X128" i="28" s="1"/>
  <c r="W223" i="28"/>
  <c r="X223" i="28" s="1"/>
  <c r="W147" i="28"/>
  <c r="X147" i="28" s="1"/>
  <c r="W148" i="28"/>
  <c r="X148" i="28" s="1"/>
  <c r="W150" i="28"/>
  <c r="X150" i="28" s="1"/>
  <c r="W151" i="28"/>
  <c r="X151" i="28" s="1"/>
  <c r="W152" i="28"/>
  <c r="X152" i="28" s="1"/>
  <c r="E110" i="28" a="1"/>
  <c r="E110" i="28" s="1"/>
  <c r="E111" i="28" a="1"/>
  <c r="E111" i="28" s="1"/>
  <c r="E113" i="28" a="1"/>
  <c r="E113" i="28" s="1"/>
  <c r="E114" i="28" a="1"/>
  <c r="E114" i="28" s="1"/>
  <c r="E115" i="28" a="1"/>
  <c r="E115" i="28" s="1"/>
  <c r="E116" i="28" a="1"/>
  <c r="E116" i="28" s="1"/>
  <c r="E117" i="28" a="1"/>
  <c r="E117" i="28" s="1"/>
  <c r="E118" i="28" a="1"/>
  <c r="E118" i="28" s="1"/>
  <c r="E119" i="28" a="1"/>
  <c r="E119" i="28" s="1"/>
  <c r="E120" i="28" a="1"/>
  <c r="E120" i="28" s="1"/>
  <c r="E121" i="28" a="1"/>
  <c r="E121" i="28" s="1"/>
  <c r="E122" i="28" a="1"/>
  <c r="E122" i="28" s="1"/>
  <c r="E123" i="28" a="1"/>
  <c r="E123" i="28" s="1"/>
  <c r="E124" i="28" a="1"/>
  <c r="E124" i="28" s="1"/>
  <c r="E125" i="28" a="1"/>
  <c r="E125" i="28" s="1"/>
  <c r="E126" i="28" a="1"/>
  <c r="E126" i="28" s="1"/>
  <c r="E127" i="28" a="1"/>
  <c r="E127" i="28" s="1"/>
  <c r="E95" i="28" a="1"/>
  <c r="E95" i="28" s="1"/>
  <c r="E171" i="28" a="1"/>
  <c r="E171" i="28" s="1"/>
  <c r="E279" i="28" a="1"/>
  <c r="E279" i="28" s="1"/>
  <c r="E280" i="28" a="1"/>
  <c r="E280" i="28" s="1"/>
  <c r="E281" i="28" a="1"/>
  <c r="E281" i="28" s="1"/>
  <c r="E108" i="28" a="1"/>
  <c r="E108" i="28" s="1"/>
  <c r="E109" i="28" a="1"/>
  <c r="E109" i="28" s="1"/>
  <c r="E128" i="28" a="1"/>
  <c r="E128" i="28" s="1"/>
  <c r="E223" i="28" a="1"/>
  <c r="E223" i="28" s="1"/>
  <c r="G281" i="28" a="1"/>
  <c r="G281" i="28" s="1"/>
  <c r="W281" i="28"/>
  <c r="X281" i="28" s="1"/>
  <c r="G171" i="28" a="1"/>
  <c r="G171" i="28" s="1"/>
  <c r="G279" i="28" a="1"/>
  <c r="G279" i="28" s="1"/>
  <c r="G280" i="28" a="1"/>
  <c r="G280" i="28" s="1"/>
  <c r="W171" i="28"/>
  <c r="X171" i="28" s="1"/>
  <c r="W279" i="28"/>
  <c r="X279" i="28" s="1"/>
  <c r="W280" i="28"/>
  <c r="X280" i="28" s="1"/>
  <c r="G95" i="28" a="1"/>
  <c r="G95" i="28" s="1"/>
  <c r="W95" i="28"/>
  <c r="X95" i="28" s="1"/>
  <c r="G124" i="28" a="1"/>
  <c r="G124" i="28" s="1"/>
  <c r="G125" i="28" a="1"/>
  <c r="G125" i="28" s="1"/>
  <c r="G126" i="28" a="1"/>
  <c r="G126" i="28" s="1"/>
  <c r="G127" i="28" a="1"/>
  <c r="G127" i="28" s="1"/>
  <c r="W124" i="28"/>
  <c r="X124" i="28" s="1"/>
  <c r="W125" i="28"/>
  <c r="X125" i="28" s="1"/>
  <c r="W126" i="28"/>
  <c r="X126" i="28" s="1"/>
  <c r="W127" i="28"/>
  <c r="X127" i="28" s="1"/>
  <c r="G123" i="28" a="1"/>
  <c r="G123" i="28" s="1"/>
  <c r="W123" i="28"/>
  <c r="X123" i="28" s="1"/>
  <c r="G122" i="28" a="1"/>
  <c r="G122" i="28" s="1"/>
  <c r="W122" i="28"/>
  <c r="X122" i="28" s="1"/>
  <c r="G121" i="28" a="1"/>
  <c r="G121" i="28" s="1"/>
  <c r="W121" i="28"/>
  <c r="X121" i="28" s="1"/>
  <c r="G120" i="28" a="1"/>
  <c r="G120" i="28" s="1"/>
  <c r="W120" i="28"/>
  <c r="X120" i="28" s="1"/>
  <c r="G110" i="28" a="1"/>
  <c r="G110" i="28" s="1"/>
  <c r="G111" i="28" a="1"/>
  <c r="G111" i="28" s="1"/>
  <c r="G112" i="28" a="1"/>
  <c r="G112" i="28" s="1"/>
  <c r="G113" i="28" a="1"/>
  <c r="G113" i="28" s="1"/>
  <c r="G114" i="28" a="1"/>
  <c r="G114" i="28" s="1"/>
  <c r="G115" i="28" a="1"/>
  <c r="G115" i="28" s="1"/>
  <c r="G116" i="28" a="1"/>
  <c r="G116" i="28" s="1"/>
  <c r="G117" i="28" a="1"/>
  <c r="G117" i="28" s="1"/>
  <c r="G118" i="28" a="1"/>
  <c r="G118" i="28" s="1"/>
  <c r="G119" i="28" a="1"/>
  <c r="G119" i="28" s="1"/>
  <c r="W110" i="28"/>
  <c r="X110" i="28" s="1"/>
  <c r="W111" i="28"/>
  <c r="X111" i="28" s="1"/>
  <c r="W112" i="28"/>
  <c r="X112" i="28" s="1"/>
  <c r="W113" i="28"/>
  <c r="X113" i="28" s="1"/>
  <c r="W114" i="28"/>
  <c r="X114" i="28" s="1"/>
  <c r="W115" i="28"/>
  <c r="X115" i="28" s="1"/>
  <c r="W116" i="28"/>
  <c r="X116" i="28" s="1"/>
  <c r="W117" i="28"/>
  <c r="X117" i="28" s="1"/>
  <c r="W118" i="28"/>
  <c r="X118" i="28" s="1"/>
  <c r="W119" i="28"/>
  <c r="X119" i="28" s="1"/>
  <c r="W129" i="28"/>
  <c r="X129" i="28" s="1"/>
  <c r="W79" i="28"/>
  <c r="X79" i="28" s="1"/>
  <c r="W80" i="28"/>
  <c r="X80" i="28" s="1"/>
  <c r="W81" i="28"/>
  <c r="X81" i="28" s="1"/>
  <c r="W82" i="28"/>
  <c r="X82" i="28" s="1"/>
  <c r="W83" i="28"/>
  <c r="X83" i="28" s="1"/>
  <c r="W84" i="28"/>
  <c r="X84" i="28" s="1"/>
  <c r="W85" i="28"/>
  <c r="X85" i="28" s="1"/>
  <c r="W86" i="28"/>
  <c r="X86" i="28" s="1"/>
  <c r="W87" i="28"/>
  <c r="X87" i="28" s="1"/>
  <c r="W88" i="28"/>
  <c r="X88" i="28" s="1"/>
  <c r="W149" i="28"/>
  <c r="X149" i="28" s="1"/>
  <c r="W89" i="28"/>
  <c r="X89" i="28" s="1"/>
  <c r="W90" i="28"/>
  <c r="X90" i="28" s="1"/>
  <c r="W91" i="28"/>
  <c r="X91" i="28" s="1"/>
  <c r="W92" i="28"/>
  <c r="X92" i="28" s="1"/>
  <c r="W93" i="28"/>
  <c r="X93" i="28" s="1"/>
  <c r="W94" i="28"/>
  <c r="X94" i="28" s="1"/>
  <c r="W97" i="28"/>
  <c r="X97" i="28" s="1"/>
  <c r="W98" i="28"/>
  <c r="X98" i="28" s="1"/>
  <c r="W99" i="28"/>
  <c r="X99" i="28" s="1"/>
  <c r="W100" i="28"/>
  <c r="X100" i="28" s="1"/>
  <c r="W96" i="28"/>
  <c r="X96" i="28" s="1"/>
  <c r="W101" i="28"/>
  <c r="X101" i="28" s="1"/>
  <c r="W102" i="28"/>
  <c r="X102" i="28" s="1"/>
  <c r="W103" i="28"/>
  <c r="X103" i="28" s="1"/>
  <c r="W161" i="28"/>
  <c r="X161" i="28" s="1"/>
  <c r="W162" i="28"/>
  <c r="X162" i="28" s="1"/>
  <c r="W163" i="28"/>
  <c r="X163" i="28" s="1"/>
  <c r="W164" i="28"/>
  <c r="X164" i="28" s="1"/>
  <c r="W130" i="28"/>
  <c r="X130" i="28" s="1"/>
  <c r="W131" i="28"/>
  <c r="X131" i="28" s="1"/>
  <c r="W132" i="28"/>
  <c r="X132" i="28" s="1"/>
  <c r="W133" i="28"/>
  <c r="X133" i="28" s="1"/>
  <c r="W134" i="28"/>
  <c r="X134" i="28" s="1"/>
  <c r="W135" i="28"/>
  <c r="X135" i="28" s="1"/>
  <c r="W136" i="28"/>
  <c r="X136" i="28" s="1"/>
  <c r="W137" i="28"/>
  <c r="X137" i="28" s="1"/>
  <c r="W138" i="28"/>
  <c r="X138" i="28" s="1"/>
  <c r="W139" i="28"/>
  <c r="X139" i="28" s="1"/>
  <c r="W140" i="28"/>
  <c r="X140" i="28" s="1"/>
  <c r="W141" i="28"/>
  <c r="X141" i="28" s="1"/>
  <c r="W142" i="28"/>
  <c r="X142" i="28" s="1"/>
  <c r="W143" i="28"/>
  <c r="X143" i="28" s="1"/>
  <c r="W144" i="28"/>
  <c r="X144" i="28" s="1"/>
  <c r="W145" i="28"/>
  <c r="X145" i="28" s="1"/>
  <c r="W146" i="28"/>
  <c r="X146" i="28" s="1"/>
  <c r="W186" i="28"/>
  <c r="X186" i="28" s="1"/>
  <c r="W188" i="28"/>
  <c r="X188" i="28" s="1"/>
  <c r="W189" i="28"/>
  <c r="X189" i="28" s="1"/>
  <c r="W190" i="28"/>
  <c r="X190" i="28" s="1"/>
  <c r="W191" i="28"/>
  <c r="X191" i="28" s="1"/>
  <c r="W192" i="28"/>
  <c r="X192" i="28" s="1"/>
  <c r="W193" i="28"/>
  <c r="X193" i="28" s="1"/>
  <c r="W194" i="28"/>
  <c r="X194" i="28" s="1"/>
  <c r="W187" i="28"/>
  <c r="X187" i="28" s="1"/>
  <c r="W251" i="28"/>
  <c r="X251" i="28" s="1"/>
  <c r="W252" i="28"/>
  <c r="X252" i="28" s="1"/>
  <c r="W253" i="28"/>
  <c r="X253" i="28" s="1"/>
  <c r="W254" i="28"/>
  <c r="X254" i="28" s="1"/>
  <c r="W255" i="28"/>
  <c r="X255" i="28" s="1"/>
  <c r="W256" i="28"/>
  <c r="X256" i="28" s="1"/>
  <c r="W257" i="28"/>
  <c r="X257" i="28" s="1"/>
  <c r="W165" i="28"/>
  <c r="X165" i="28" s="1"/>
  <c r="W153" i="28"/>
  <c r="X153" i="28" s="1"/>
  <c r="W154" i="28"/>
  <c r="X154" i="28" s="1"/>
  <c r="W155" i="28"/>
  <c r="X155" i="28" s="1"/>
  <c r="W156" i="28"/>
  <c r="X156" i="28" s="1"/>
  <c r="W157" i="28"/>
  <c r="X157" i="28" s="1"/>
  <c r="W158" i="28"/>
  <c r="X158" i="28" s="1"/>
  <c r="W159" i="28"/>
  <c r="X159" i="28" s="1"/>
  <c r="W160" i="28"/>
  <c r="X160" i="28" s="1"/>
  <c r="W166" i="28"/>
  <c r="X166" i="28" s="1"/>
  <c r="W167" i="28"/>
  <c r="X167" i="28" s="1"/>
  <c r="W168" i="28"/>
  <c r="X168" i="28" s="1"/>
  <c r="W169" i="28"/>
  <c r="X169" i="28" s="1"/>
  <c r="W170" i="28"/>
  <c r="X170" i="28" s="1"/>
  <c r="W172" i="28"/>
  <c r="X172" i="28" s="1"/>
  <c r="W173" i="28"/>
  <c r="X173" i="28" s="1"/>
  <c r="W174" i="28"/>
  <c r="X174" i="28" s="1"/>
  <c r="W175" i="28"/>
  <c r="X175" i="28" s="1"/>
  <c r="W176" i="28"/>
  <c r="X176" i="28" s="1"/>
  <c r="W177" i="28"/>
  <c r="X177" i="28" s="1"/>
  <c r="W178" i="28"/>
  <c r="X178" i="28" s="1"/>
  <c r="W179" i="28"/>
  <c r="X179" i="28" s="1"/>
  <c r="W180" i="28"/>
  <c r="X180" i="28" s="1"/>
  <c r="W181" i="28"/>
  <c r="X181" i="28" s="1"/>
  <c r="W182" i="28"/>
  <c r="X182" i="28" s="1"/>
  <c r="W183" i="28"/>
  <c r="X183" i="28" s="1"/>
  <c r="W184" i="28"/>
  <c r="X184" i="28" s="1"/>
  <c r="W185" i="28"/>
  <c r="X185" i="28" s="1"/>
  <c r="W195" i="28"/>
  <c r="X195" i="28" s="1"/>
  <c r="W196" i="28"/>
  <c r="X196" i="28" s="1"/>
  <c r="W197" i="28"/>
  <c r="X197" i="28" s="1"/>
  <c r="W198" i="28"/>
  <c r="X198" i="28" s="1"/>
  <c r="W199" i="28"/>
  <c r="X199" i="28" s="1"/>
  <c r="W200" i="28"/>
  <c r="X200" i="28" s="1"/>
  <c r="W201" i="28"/>
  <c r="X201" i="28" s="1"/>
  <c r="W202" i="28"/>
  <c r="X202" i="28" s="1"/>
  <c r="W203" i="28"/>
  <c r="X203" i="28" s="1"/>
  <c r="W204" i="28"/>
  <c r="X204" i="28" s="1"/>
  <c r="W205" i="28"/>
  <c r="X205" i="28" s="1"/>
  <c r="W206" i="28"/>
  <c r="X206" i="28" s="1"/>
  <c r="W207" i="28"/>
  <c r="X207" i="28" s="1"/>
  <c r="W208" i="28"/>
  <c r="X208" i="28" s="1"/>
  <c r="W209" i="28"/>
  <c r="X209" i="28" s="1"/>
  <c r="W105" i="28"/>
  <c r="X105" i="28" s="1"/>
  <c r="W104" i="28"/>
  <c r="X104" i="28" s="1"/>
  <c r="W106" i="28"/>
  <c r="X106" i="28" s="1"/>
  <c r="W107" i="28"/>
  <c r="X107" i="28" s="1"/>
  <c r="W210" i="28"/>
  <c r="X210" i="28" s="1"/>
  <c r="W211" i="28"/>
  <c r="X211" i="28" s="1"/>
  <c r="W212" i="28"/>
  <c r="X212" i="28" s="1"/>
  <c r="W213" i="28"/>
  <c r="X213" i="28" s="1"/>
  <c r="W214" i="28"/>
  <c r="X214" i="28" s="1"/>
  <c r="W215" i="28"/>
  <c r="X215" i="28" s="1"/>
  <c r="W216" i="28"/>
  <c r="X216" i="28" s="1"/>
  <c r="W217" i="28"/>
  <c r="X217" i="28" s="1"/>
  <c r="W218" i="28"/>
  <c r="X218" i="28" s="1"/>
  <c r="W219" i="28"/>
  <c r="X219" i="28" s="1"/>
  <c r="W220" i="28"/>
  <c r="X220" i="28" s="1"/>
  <c r="W221" i="28"/>
  <c r="X221" i="28" s="1"/>
  <c r="W222" i="28"/>
  <c r="X222" i="28" s="1"/>
  <c r="W224" i="28"/>
  <c r="X224" i="28" s="1"/>
  <c r="W225" i="28"/>
  <c r="X225" i="28" s="1"/>
  <c r="W226" i="28"/>
  <c r="X226" i="28" s="1"/>
  <c r="W227" i="28"/>
  <c r="X227" i="28" s="1"/>
  <c r="W228" i="28"/>
  <c r="X228" i="28" s="1"/>
  <c r="W229" i="28"/>
  <c r="X229" i="28" s="1"/>
  <c r="W230" i="28"/>
  <c r="X230" i="28" s="1"/>
  <c r="W231" i="28"/>
  <c r="X231" i="28" s="1"/>
  <c r="W232" i="28"/>
  <c r="X232" i="28" s="1"/>
  <c r="W233" i="28"/>
  <c r="X233" i="28" s="1"/>
  <c r="W234" i="28"/>
  <c r="X234" i="28" s="1"/>
  <c r="W235" i="28"/>
  <c r="X235" i="28" s="1"/>
  <c r="W236" i="28"/>
  <c r="X236" i="28" s="1"/>
  <c r="W237" i="28"/>
  <c r="X237" i="28" s="1"/>
  <c r="W238" i="28"/>
  <c r="X238" i="28" s="1"/>
  <c r="W239" i="28"/>
  <c r="X239" i="28" s="1"/>
  <c r="W240" i="28"/>
  <c r="X240" i="28" s="1"/>
  <c r="W241" i="28"/>
  <c r="X241" i="28" s="1"/>
  <c r="W242" i="28"/>
  <c r="X242" i="28" s="1"/>
  <c r="W243" i="28"/>
  <c r="X243" i="28" s="1"/>
  <c r="W244" i="28"/>
  <c r="X244" i="28" s="1"/>
  <c r="W245" i="28"/>
  <c r="X245" i="28" s="1"/>
  <c r="W246" i="28"/>
  <c r="X246" i="28" s="1"/>
  <c r="W247" i="28"/>
  <c r="X247" i="28" s="1"/>
  <c r="W248" i="28"/>
  <c r="X248" i="28" s="1"/>
  <c r="W249" i="28"/>
  <c r="X249" i="28" s="1"/>
  <c r="W250" i="28"/>
  <c r="X250" i="28" s="1"/>
  <c r="W269" i="28"/>
  <c r="X269" i="28" s="1"/>
  <c r="W258" i="28"/>
  <c r="X258" i="28" s="1"/>
  <c r="W259" i="28"/>
  <c r="X259" i="28" s="1"/>
  <c r="W260" i="28"/>
  <c r="X260" i="28" s="1"/>
  <c r="W261" i="28"/>
  <c r="X261" i="28" s="1"/>
  <c r="W262" i="28"/>
  <c r="X262" i="28" s="1"/>
  <c r="W263" i="28"/>
  <c r="X263" i="28" s="1"/>
  <c r="W264" i="28"/>
  <c r="X264" i="28" s="1"/>
  <c r="W265" i="28"/>
  <c r="X265" i="28" s="1"/>
  <c r="W266" i="28"/>
  <c r="X266" i="28" s="1"/>
  <c r="W267" i="28"/>
  <c r="X267" i="28" s="1"/>
  <c r="W268" i="28"/>
  <c r="X268" i="28" s="1"/>
  <c r="W270" i="28"/>
  <c r="X270" i="28" s="1"/>
  <c r="W271" i="28"/>
  <c r="X271" i="28" s="1"/>
  <c r="W272" i="28"/>
  <c r="X272" i="28" s="1"/>
  <c r="W273" i="28"/>
  <c r="X273" i="28" s="1"/>
  <c r="W274" i="28"/>
  <c r="X274" i="28" s="1"/>
  <c r="W275" i="28"/>
  <c r="X275" i="28" s="1"/>
  <c r="W276" i="28"/>
  <c r="X276" i="28" s="1"/>
  <c r="W277" i="28"/>
  <c r="X277" i="28" s="1"/>
  <c r="W278" i="28"/>
  <c r="X278" i="28" s="1"/>
  <c r="W283" i="28"/>
  <c r="X283" i="28" s="1"/>
  <c r="W284" i="28"/>
  <c r="X284" i="28" s="1"/>
  <c r="W285" i="28"/>
  <c r="X285" i="28" s="1"/>
  <c r="W282" i="28"/>
  <c r="X282" i="28" s="1"/>
  <c r="W286" i="28"/>
  <c r="X286" i="28" s="1"/>
  <c r="W287" i="28"/>
  <c r="X287" i="28" s="1"/>
  <c r="W288" i="28"/>
  <c r="X288" i="28" s="1"/>
  <c r="W78" i="28"/>
  <c r="X78" i="28" s="1"/>
  <c r="G288" i="28" l="1" a="1"/>
  <c r="G288" i="28" s="1"/>
  <c r="E288" i="28" a="1"/>
  <c r="E288" i="28" s="1"/>
  <c r="G287" i="28" a="1"/>
  <c r="G287" i="28" s="1"/>
  <c r="E287" i="28" a="1"/>
  <c r="E287" i="28" s="1"/>
  <c r="G286" i="28" a="1"/>
  <c r="G286" i="28" s="1"/>
  <c r="E286" i="28" a="1"/>
  <c r="E286" i="28" s="1"/>
  <c r="G282" i="28" a="1"/>
  <c r="G282" i="28" s="1"/>
  <c r="E282" i="28" a="1"/>
  <c r="E282" i="28" s="1"/>
  <c r="G285" i="28" a="1"/>
  <c r="G285" i="28" s="1"/>
  <c r="E285" i="28" a="1"/>
  <c r="E285" i="28" s="1"/>
  <c r="G284" i="28" a="1"/>
  <c r="G284" i="28" s="1"/>
  <c r="E284" i="28" a="1"/>
  <c r="E284" i="28" s="1"/>
  <c r="G283" i="28" a="1"/>
  <c r="G283" i="28" s="1"/>
  <c r="E283" i="28" a="1"/>
  <c r="E283" i="28" s="1"/>
  <c r="G278" i="28" a="1"/>
  <c r="G278" i="28" s="1"/>
  <c r="E278" i="28" a="1"/>
  <c r="E278" i="28" s="1"/>
  <c r="G277" i="28" a="1"/>
  <c r="G277" i="28" s="1"/>
  <c r="E277" i="28" a="1"/>
  <c r="E277" i="28" s="1"/>
  <c r="G276" i="28" a="1"/>
  <c r="G276" i="28" s="1"/>
  <c r="E276" i="28" a="1"/>
  <c r="E276" i="28" s="1"/>
  <c r="G275" i="28" a="1"/>
  <c r="G275" i="28" s="1"/>
  <c r="E275" i="28" a="1"/>
  <c r="E275" i="28" s="1"/>
  <c r="G274" i="28" a="1"/>
  <c r="G274" i="28" s="1"/>
  <c r="E274" i="28" a="1"/>
  <c r="E274" i="28" s="1"/>
  <c r="G273" i="28" a="1"/>
  <c r="G273" i="28" s="1"/>
  <c r="E273" i="28" a="1"/>
  <c r="E273" i="28" s="1"/>
  <c r="G272" i="28" a="1"/>
  <c r="G272" i="28" s="1"/>
  <c r="E272" i="28" a="1"/>
  <c r="E272" i="28" s="1"/>
  <c r="G271" i="28" a="1"/>
  <c r="G271" i="28" s="1"/>
  <c r="E271" i="28" a="1"/>
  <c r="E271" i="28" s="1"/>
  <c r="G270" i="28" a="1"/>
  <c r="G270" i="28" s="1"/>
  <c r="E270" i="28" a="1"/>
  <c r="E270" i="28" s="1"/>
  <c r="G268" i="28" a="1"/>
  <c r="G268" i="28" s="1"/>
  <c r="E268" i="28" a="1"/>
  <c r="E268" i="28" s="1"/>
  <c r="G267" i="28" a="1"/>
  <c r="G267" i="28" s="1"/>
  <c r="E267" i="28" a="1"/>
  <c r="E267" i="28" s="1"/>
  <c r="G266" i="28" a="1"/>
  <c r="G266" i="28" s="1"/>
  <c r="E266" i="28" a="1"/>
  <c r="E266" i="28" s="1"/>
  <c r="G265" i="28" a="1"/>
  <c r="G265" i="28" s="1"/>
  <c r="E265" i="28" a="1"/>
  <c r="E265" i="28" s="1"/>
  <c r="G264" i="28" a="1"/>
  <c r="G264" i="28" s="1"/>
  <c r="E264" i="28" a="1"/>
  <c r="E264" i="28" s="1"/>
  <c r="G263" i="28" a="1"/>
  <c r="G263" i="28" s="1"/>
  <c r="E263" i="28" a="1"/>
  <c r="E263" i="28" s="1"/>
  <c r="G262" i="28" a="1"/>
  <c r="G262" i="28" s="1"/>
  <c r="E262" i="28" a="1"/>
  <c r="E262" i="28" s="1"/>
  <c r="G261" i="28" a="1"/>
  <c r="G261" i="28" s="1"/>
  <c r="E261" i="28" a="1"/>
  <c r="E261" i="28" s="1"/>
  <c r="G260" i="28" a="1"/>
  <c r="G260" i="28" s="1"/>
  <c r="E260" i="28" a="1"/>
  <c r="E260" i="28" s="1"/>
  <c r="G259" i="28" a="1"/>
  <c r="G259" i="28" s="1"/>
  <c r="E259" i="28" a="1"/>
  <c r="E259" i="28" s="1"/>
  <c r="G258" i="28" a="1"/>
  <c r="G258" i="28" s="1"/>
  <c r="E258" i="28" a="1"/>
  <c r="E258" i="28" s="1"/>
  <c r="G269" i="28" a="1"/>
  <c r="G269" i="28" s="1"/>
  <c r="E269" i="28" a="1"/>
  <c r="E269" i="28" s="1"/>
  <c r="G250" i="28" a="1"/>
  <c r="G250" i="28" s="1"/>
  <c r="E250" i="28" a="1"/>
  <c r="E250" i="28" s="1"/>
  <c r="G249" i="28" a="1"/>
  <c r="G249" i="28" s="1"/>
  <c r="E249" i="28" a="1"/>
  <c r="E249" i="28" s="1"/>
  <c r="G248" i="28" a="1"/>
  <c r="G248" i="28" s="1"/>
  <c r="E248" i="28" a="1"/>
  <c r="E248" i="28" s="1"/>
  <c r="G247" i="28" a="1"/>
  <c r="G247" i="28" s="1"/>
  <c r="E247" i="28" a="1"/>
  <c r="E247" i="28" s="1"/>
  <c r="G246" i="28" a="1"/>
  <c r="G246" i="28" s="1"/>
  <c r="E246" i="28" a="1"/>
  <c r="E246" i="28" s="1"/>
  <c r="G245" i="28" a="1"/>
  <c r="G245" i="28" s="1"/>
  <c r="E245" i="28" a="1"/>
  <c r="E245" i="28" s="1"/>
  <c r="G244" i="28" a="1"/>
  <c r="G244" i="28" s="1"/>
  <c r="E244" i="28" a="1"/>
  <c r="E244" i="28" s="1"/>
  <c r="G243" i="28" a="1"/>
  <c r="G243" i="28" s="1"/>
  <c r="E243" i="28" a="1"/>
  <c r="E243" i="28" s="1"/>
  <c r="G242" i="28" a="1"/>
  <c r="G242" i="28" s="1"/>
  <c r="E242" i="28" a="1"/>
  <c r="E242" i="28" s="1"/>
  <c r="G241" i="28" a="1"/>
  <c r="G241" i="28" s="1"/>
  <c r="E241" i="28" a="1"/>
  <c r="E241" i="28" s="1"/>
  <c r="G240" i="28" a="1"/>
  <c r="G240" i="28" s="1"/>
  <c r="E240" i="28" a="1"/>
  <c r="E240" i="28" s="1"/>
  <c r="G239" i="28" a="1"/>
  <c r="G239" i="28" s="1"/>
  <c r="E239" i="28" a="1"/>
  <c r="E239" i="28" s="1"/>
  <c r="G238" i="28" a="1"/>
  <c r="G238" i="28" s="1"/>
  <c r="E238" i="28" a="1"/>
  <c r="E238" i="28" s="1"/>
  <c r="G237" i="28" a="1"/>
  <c r="G237" i="28" s="1"/>
  <c r="E237" i="28" a="1"/>
  <c r="E237" i="28" s="1"/>
  <c r="G236" i="28" a="1"/>
  <c r="G236" i="28" s="1"/>
  <c r="E236" i="28" a="1"/>
  <c r="E236" i="28" s="1"/>
  <c r="G235" i="28" a="1"/>
  <c r="G235" i="28" s="1"/>
  <c r="E235" i="28" a="1"/>
  <c r="E235" i="28" s="1"/>
  <c r="G234" i="28" a="1"/>
  <c r="G234" i="28" s="1"/>
  <c r="E234" i="28" a="1"/>
  <c r="E234" i="28" s="1"/>
  <c r="G233" i="28" a="1"/>
  <c r="G233" i="28" s="1"/>
  <c r="E233" i="28" a="1"/>
  <c r="E233" i="28" s="1"/>
  <c r="G232" i="28" a="1"/>
  <c r="G232" i="28" s="1"/>
  <c r="E232" i="28" a="1"/>
  <c r="E232" i="28" s="1"/>
  <c r="G231" i="28" a="1"/>
  <c r="G231" i="28" s="1"/>
  <c r="E231" i="28" a="1"/>
  <c r="E231" i="28" s="1"/>
  <c r="G230" i="28" a="1"/>
  <c r="G230" i="28" s="1"/>
  <c r="E230" i="28" a="1"/>
  <c r="E230" i="28" s="1"/>
  <c r="G229" i="28" a="1"/>
  <c r="G229" i="28" s="1"/>
  <c r="E229" i="28" a="1"/>
  <c r="E229" i="28" s="1"/>
  <c r="G228" i="28" a="1"/>
  <c r="G228" i="28" s="1"/>
  <c r="E228" i="28" a="1"/>
  <c r="E228" i="28" s="1"/>
  <c r="G227" i="28" a="1"/>
  <c r="G227" i="28" s="1"/>
  <c r="E227" i="28" a="1"/>
  <c r="E227" i="28" s="1"/>
  <c r="G226" i="28" a="1"/>
  <c r="G226" i="28" s="1"/>
  <c r="E226" i="28" a="1"/>
  <c r="E226" i="28" s="1"/>
  <c r="G225" i="28" a="1"/>
  <c r="G225" i="28" s="1"/>
  <c r="E225" i="28" a="1"/>
  <c r="E225" i="28" s="1"/>
  <c r="G224" i="28" a="1"/>
  <c r="G224" i="28" s="1"/>
  <c r="E224" i="28" a="1"/>
  <c r="E224" i="28" s="1"/>
  <c r="G222" i="28" a="1"/>
  <c r="G222" i="28" s="1"/>
  <c r="E222" i="28" a="1"/>
  <c r="E222" i="28" s="1"/>
  <c r="G221" i="28" a="1"/>
  <c r="G221" i="28" s="1"/>
  <c r="E221" i="28" a="1"/>
  <c r="E221" i="28" s="1"/>
  <c r="G220" i="28" a="1"/>
  <c r="G220" i="28" s="1"/>
  <c r="E220" i="28" a="1"/>
  <c r="E220" i="28" s="1"/>
  <c r="G219" i="28" a="1"/>
  <c r="G219" i="28" s="1"/>
  <c r="E219" i="28" a="1"/>
  <c r="E219" i="28" s="1"/>
  <c r="G218" i="28" a="1"/>
  <c r="G218" i="28" s="1"/>
  <c r="E218" i="28" a="1"/>
  <c r="E218" i="28" s="1"/>
  <c r="G217" i="28" a="1"/>
  <c r="G217" i="28" s="1"/>
  <c r="E217" i="28" a="1"/>
  <c r="E217" i="28" s="1"/>
  <c r="G216" i="28" a="1"/>
  <c r="G216" i="28" s="1"/>
  <c r="E216" i="28" a="1"/>
  <c r="E216" i="28" s="1"/>
  <c r="G215" i="28" a="1"/>
  <c r="G215" i="28" s="1"/>
  <c r="E215" i="28" a="1"/>
  <c r="E215" i="28" s="1"/>
  <c r="G214" i="28" a="1"/>
  <c r="G214" i="28" s="1"/>
  <c r="E214" i="28" a="1"/>
  <c r="E214" i="28" s="1"/>
  <c r="G213" i="28" a="1"/>
  <c r="G213" i="28" s="1"/>
  <c r="E213" i="28" a="1"/>
  <c r="E213" i="28" s="1"/>
  <c r="G212" i="28" a="1"/>
  <c r="G212" i="28" s="1"/>
  <c r="E212" i="28" a="1"/>
  <c r="E212" i="28" s="1"/>
  <c r="G211" i="28" a="1"/>
  <c r="G211" i="28" s="1"/>
  <c r="E211" i="28" a="1"/>
  <c r="E211" i="28" s="1"/>
  <c r="G210" i="28" a="1"/>
  <c r="G210" i="28" s="1"/>
  <c r="E210" i="28" a="1"/>
  <c r="E210" i="28" s="1"/>
  <c r="G107" i="28" a="1"/>
  <c r="G107" i="28" s="1"/>
  <c r="E107" i="28" a="1"/>
  <c r="E107" i="28" s="1"/>
  <c r="G106" i="28" a="1"/>
  <c r="G106" i="28" s="1"/>
  <c r="E106" i="28" a="1"/>
  <c r="E106" i="28" s="1"/>
  <c r="G104" i="28" a="1"/>
  <c r="G104" i="28" s="1"/>
  <c r="E104" i="28" a="1"/>
  <c r="E104" i="28" s="1"/>
  <c r="G105" i="28" a="1"/>
  <c r="G105" i="28" s="1"/>
  <c r="E105" i="28" a="1"/>
  <c r="E105" i="28" s="1"/>
  <c r="G209" i="28" a="1"/>
  <c r="G209" i="28" s="1"/>
  <c r="E209" i="28" a="1"/>
  <c r="E209" i="28" s="1"/>
  <c r="G208" i="28" a="1"/>
  <c r="G208" i="28" s="1"/>
  <c r="E208" i="28" a="1"/>
  <c r="E208" i="28" s="1"/>
  <c r="G207" i="28" a="1"/>
  <c r="G207" i="28" s="1"/>
  <c r="E207" i="28" a="1"/>
  <c r="E207" i="28" s="1"/>
  <c r="G206" i="28" a="1"/>
  <c r="G206" i="28" s="1"/>
  <c r="E206" i="28" a="1"/>
  <c r="E206" i="28" s="1"/>
  <c r="G205" i="28" a="1"/>
  <c r="G205" i="28" s="1"/>
  <c r="E205" i="28" a="1"/>
  <c r="E205" i="28" s="1"/>
  <c r="G204" i="28" a="1"/>
  <c r="G204" i="28" s="1"/>
  <c r="E204" i="28" a="1"/>
  <c r="E204" i="28" s="1"/>
  <c r="G203" i="28" a="1"/>
  <c r="G203" i="28" s="1"/>
  <c r="E203" i="28" a="1"/>
  <c r="E203" i="28" s="1"/>
  <c r="G202" i="28" a="1"/>
  <c r="G202" i="28" s="1"/>
  <c r="E202" i="28" a="1"/>
  <c r="E202" i="28" s="1"/>
  <c r="G201" i="28" a="1"/>
  <c r="G201" i="28" s="1"/>
  <c r="E201" i="28" a="1"/>
  <c r="E201" i="28" s="1"/>
  <c r="G200" i="28" a="1"/>
  <c r="G200" i="28" s="1"/>
  <c r="E200" i="28" a="1"/>
  <c r="E200" i="28" s="1"/>
  <c r="G199" i="28" a="1"/>
  <c r="G199" i="28" s="1"/>
  <c r="E199" i="28" a="1"/>
  <c r="E199" i="28" s="1"/>
  <c r="G198" i="28" a="1"/>
  <c r="G198" i="28" s="1"/>
  <c r="E198" i="28" a="1"/>
  <c r="E198" i="28" s="1"/>
  <c r="G197" i="28" a="1"/>
  <c r="G197" i="28" s="1"/>
  <c r="E197" i="28" a="1"/>
  <c r="E197" i="28" s="1"/>
  <c r="G196" i="28" a="1"/>
  <c r="G196" i="28" s="1"/>
  <c r="E196" i="28" a="1"/>
  <c r="E196" i="28" s="1"/>
  <c r="G195" i="28" a="1"/>
  <c r="G195" i="28" s="1"/>
  <c r="E195" i="28" a="1"/>
  <c r="E195" i="28" s="1"/>
  <c r="G170" i="28" a="1"/>
  <c r="G170" i="28" s="1"/>
  <c r="E170" i="28" a="1"/>
  <c r="E170" i="28" s="1"/>
  <c r="G169" i="28" a="1"/>
  <c r="G169" i="28" s="1"/>
  <c r="E169" i="28" a="1"/>
  <c r="E169" i="28" s="1"/>
  <c r="G168" i="28" a="1"/>
  <c r="G168" i="28" s="1"/>
  <c r="E168" i="28" a="1"/>
  <c r="E168" i="28" s="1"/>
  <c r="G167" i="28" a="1"/>
  <c r="G167" i="28" s="1"/>
  <c r="E167" i="28" a="1"/>
  <c r="E167" i="28" s="1"/>
  <c r="G166" i="28" a="1"/>
  <c r="G166" i="28" s="1"/>
  <c r="E166" i="28" a="1"/>
  <c r="E166" i="28" s="1"/>
  <c r="G160" i="28" a="1"/>
  <c r="G160" i="28" s="1"/>
  <c r="E160" i="28" a="1"/>
  <c r="E160" i="28" s="1"/>
  <c r="G159" i="28" a="1"/>
  <c r="G159" i="28" s="1"/>
  <c r="E159" i="28" a="1"/>
  <c r="E159" i="28" s="1"/>
  <c r="G158" i="28" a="1"/>
  <c r="G158" i="28" s="1"/>
  <c r="E158" i="28" a="1"/>
  <c r="E158" i="28" s="1"/>
  <c r="G157" i="28" a="1"/>
  <c r="G157" i="28" s="1"/>
  <c r="E157" i="28" a="1"/>
  <c r="E157" i="28" s="1"/>
  <c r="G156" i="28" a="1"/>
  <c r="G156" i="28" s="1"/>
  <c r="E156" i="28" a="1"/>
  <c r="E156" i="28" s="1"/>
  <c r="G155" i="28" a="1"/>
  <c r="G155" i="28" s="1"/>
  <c r="E155" i="28" a="1"/>
  <c r="E155" i="28" s="1"/>
  <c r="G154" i="28" a="1"/>
  <c r="G154" i="28" s="1"/>
  <c r="E154" i="28" a="1"/>
  <c r="E154" i="28" s="1"/>
  <c r="G153" i="28" a="1"/>
  <c r="G153" i="28" s="1"/>
  <c r="E153" i="28" a="1"/>
  <c r="E153" i="28" s="1"/>
  <c r="G165" i="28" a="1"/>
  <c r="G165" i="28" s="1"/>
  <c r="E165" i="28" a="1"/>
  <c r="E165" i="28" s="1"/>
  <c r="G257" i="28" a="1"/>
  <c r="G257" i="28" s="1"/>
  <c r="E257" i="28" a="1"/>
  <c r="E257" i="28" s="1"/>
  <c r="G256" i="28" a="1"/>
  <c r="G256" i="28" s="1"/>
  <c r="E256" i="28" a="1"/>
  <c r="E256" i="28" s="1"/>
  <c r="G255" i="28" a="1"/>
  <c r="G255" i="28" s="1"/>
  <c r="E255" i="28" a="1"/>
  <c r="E255" i="28" s="1"/>
  <c r="G254" i="28" a="1"/>
  <c r="G254" i="28" s="1"/>
  <c r="E254" i="28" a="1"/>
  <c r="E254" i="28" s="1"/>
  <c r="G253" i="28" a="1"/>
  <c r="G253" i="28" s="1"/>
  <c r="E253" i="28" a="1"/>
  <c r="E253" i="28" s="1"/>
  <c r="G252" i="28" a="1"/>
  <c r="G252" i="28" s="1"/>
  <c r="E252" i="28" a="1"/>
  <c r="E252" i="28" s="1"/>
  <c r="G251" i="28" a="1"/>
  <c r="G251" i="28" s="1"/>
  <c r="E251" i="28" a="1"/>
  <c r="E251" i="28" s="1"/>
  <c r="G187" i="28" a="1"/>
  <c r="G187" i="28" s="1"/>
  <c r="E187" i="28" a="1"/>
  <c r="E187" i="28" s="1"/>
  <c r="G194" i="28" a="1"/>
  <c r="G194" i="28" s="1"/>
  <c r="E194" i="28" a="1"/>
  <c r="E194" i="28" s="1"/>
  <c r="G193" i="28" a="1"/>
  <c r="G193" i="28" s="1"/>
  <c r="E193" i="28" a="1"/>
  <c r="E193" i="28" s="1"/>
  <c r="G192" i="28" a="1"/>
  <c r="G192" i="28" s="1"/>
  <c r="E192" i="28" a="1"/>
  <c r="E192" i="28" s="1"/>
  <c r="G191" i="28" a="1"/>
  <c r="G191" i="28" s="1"/>
  <c r="E191" i="28" a="1"/>
  <c r="E191" i="28" s="1"/>
  <c r="G190" i="28" a="1"/>
  <c r="G190" i="28" s="1"/>
  <c r="E190" i="28" a="1"/>
  <c r="E190" i="28" s="1"/>
  <c r="G189" i="28" a="1"/>
  <c r="G189" i="28" s="1"/>
  <c r="E189" i="28" a="1"/>
  <c r="E189" i="28" s="1"/>
  <c r="G188" i="28" a="1"/>
  <c r="G188" i="28" s="1"/>
  <c r="E188" i="28" a="1"/>
  <c r="E188" i="28" s="1"/>
  <c r="G186" i="28" a="1"/>
  <c r="G186" i="28" s="1"/>
  <c r="E186" i="28" a="1"/>
  <c r="E186" i="28" s="1"/>
  <c r="G146" i="28" a="1"/>
  <c r="G146" i="28" s="1"/>
  <c r="E146" i="28" a="1"/>
  <c r="E146" i="28" s="1"/>
  <c r="G145" i="28" a="1"/>
  <c r="G145" i="28" s="1"/>
  <c r="E145" i="28" a="1"/>
  <c r="E145" i="28" s="1"/>
  <c r="G144" i="28" a="1"/>
  <c r="G144" i="28" s="1"/>
  <c r="E144" i="28" a="1"/>
  <c r="E144" i="28" s="1"/>
  <c r="G143" i="28" a="1"/>
  <c r="G143" i="28" s="1"/>
  <c r="E143" i="28" a="1"/>
  <c r="E143" i="28" s="1"/>
  <c r="G142" i="28" a="1"/>
  <c r="G142" i="28" s="1"/>
  <c r="E142" i="28" a="1"/>
  <c r="E142" i="28" s="1"/>
  <c r="G141" i="28" a="1"/>
  <c r="G141" i="28" s="1"/>
  <c r="E141" i="28" a="1"/>
  <c r="E141" i="28" s="1"/>
  <c r="G140" i="28" a="1"/>
  <c r="G140" i="28" s="1"/>
  <c r="E140" i="28" a="1"/>
  <c r="E140" i="28" s="1"/>
  <c r="G139" i="28" a="1"/>
  <c r="G139" i="28" s="1"/>
  <c r="E139" i="28" a="1"/>
  <c r="E139" i="28" s="1"/>
  <c r="G138" i="28" a="1"/>
  <c r="G138" i="28" s="1"/>
  <c r="E138" i="28" a="1"/>
  <c r="E138" i="28" s="1"/>
  <c r="G137" i="28" a="1"/>
  <c r="G137" i="28" s="1"/>
  <c r="E137" i="28" a="1"/>
  <c r="E137" i="28" s="1"/>
  <c r="G136" i="28" a="1"/>
  <c r="G136" i="28" s="1"/>
  <c r="E136" i="28" a="1"/>
  <c r="E136" i="28" s="1"/>
  <c r="G135" i="28" a="1"/>
  <c r="G135" i="28" s="1"/>
  <c r="E135" i="28" a="1"/>
  <c r="E135" i="28" s="1"/>
  <c r="G134" i="28" a="1"/>
  <c r="G134" i="28" s="1"/>
  <c r="E134" i="28" a="1"/>
  <c r="E134" i="28" s="1"/>
  <c r="G133" i="28" a="1"/>
  <c r="G133" i="28" s="1"/>
  <c r="E133" i="28" a="1"/>
  <c r="E133" i="28" s="1"/>
  <c r="G132" i="28" a="1"/>
  <c r="G132" i="28" s="1"/>
  <c r="E132" i="28" a="1"/>
  <c r="E132" i="28" s="1"/>
  <c r="G131" i="28" a="1"/>
  <c r="G131" i="28" s="1"/>
  <c r="E131" i="28" a="1"/>
  <c r="E131" i="28" s="1"/>
  <c r="G130" i="28" a="1"/>
  <c r="G130" i="28" s="1"/>
  <c r="E130" i="28" a="1"/>
  <c r="E130" i="28" s="1"/>
  <c r="G164" i="28" a="1"/>
  <c r="G164" i="28" s="1"/>
  <c r="E164" i="28" a="1"/>
  <c r="E164" i="28" s="1"/>
  <c r="G163" i="28" a="1"/>
  <c r="G163" i="28" s="1"/>
  <c r="E163" i="28" a="1"/>
  <c r="E163" i="28" s="1"/>
  <c r="G162" i="28" a="1"/>
  <c r="G162" i="28" s="1"/>
  <c r="E162" i="28" a="1"/>
  <c r="E162" i="28" s="1"/>
  <c r="G161" i="28" a="1"/>
  <c r="G161" i="28" s="1"/>
  <c r="E161" i="28" a="1"/>
  <c r="E161" i="28" s="1"/>
  <c r="G103" i="28" a="1"/>
  <c r="G103" i="28" s="1"/>
  <c r="E103" i="28" a="1"/>
  <c r="E103" i="28" s="1"/>
  <c r="G102" i="28" a="1"/>
  <c r="G102" i="28" s="1"/>
  <c r="E102" i="28" a="1"/>
  <c r="E102" i="28" s="1"/>
  <c r="G101" i="28" a="1"/>
  <c r="G101" i="28" s="1"/>
  <c r="E101" i="28" a="1"/>
  <c r="E101" i="28" s="1"/>
  <c r="G96" i="28" a="1"/>
  <c r="G96" i="28" s="1"/>
  <c r="E96" i="28" a="1"/>
  <c r="E96" i="28" s="1"/>
  <c r="G100" i="28" a="1"/>
  <c r="G100" i="28" s="1"/>
  <c r="E100" i="28" a="1"/>
  <c r="E100" i="28" s="1"/>
  <c r="G99" i="28" a="1"/>
  <c r="G99" i="28" s="1"/>
  <c r="E99" i="28" a="1"/>
  <c r="E99" i="28" s="1"/>
  <c r="G98" i="28" a="1"/>
  <c r="G98" i="28" s="1"/>
  <c r="E98" i="28" a="1"/>
  <c r="E98" i="28" s="1"/>
  <c r="G97" i="28" a="1"/>
  <c r="G97" i="28" s="1"/>
  <c r="E97" i="28" a="1"/>
  <c r="E97" i="28" s="1"/>
  <c r="G94" i="28" a="1"/>
  <c r="G94" i="28" s="1"/>
  <c r="E94" i="28" a="1"/>
  <c r="E94" i="28" s="1"/>
  <c r="G93" i="28" a="1"/>
  <c r="G93" i="28" s="1"/>
  <c r="E93" i="28" a="1"/>
  <c r="E93" i="28" s="1"/>
  <c r="G92" i="28" a="1"/>
  <c r="G92" i="28" s="1"/>
  <c r="E92" i="28" a="1"/>
  <c r="E92" i="28" s="1"/>
  <c r="G91" i="28" a="1"/>
  <c r="G91" i="28" s="1"/>
  <c r="E91" i="28" a="1"/>
  <c r="E91" i="28" s="1"/>
  <c r="G90" i="28" a="1"/>
  <c r="G90" i="28" s="1"/>
  <c r="E90" i="28" a="1"/>
  <c r="E90" i="28" s="1"/>
  <c r="G89" i="28" a="1"/>
  <c r="G89" i="28" s="1"/>
  <c r="E89" i="28" a="1"/>
  <c r="E89" i="28" s="1"/>
  <c r="G149" i="28" a="1"/>
  <c r="G149" i="28" s="1"/>
  <c r="E149" i="28" a="1"/>
  <c r="E149" i="28" s="1"/>
  <c r="G88" i="28" a="1"/>
  <c r="G88" i="28" s="1"/>
  <c r="E88" i="28" a="1"/>
  <c r="E88" i="28" s="1"/>
  <c r="G87" i="28" a="1"/>
  <c r="G87" i="28" s="1"/>
  <c r="E87" i="28" a="1"/>
  <c r="E87" i="28" s="1"/>
  <c r="G86" i="28" a="1"/>
  <c r="G86" i="28" s="1"/>
  <c r="E86" i="28" a="1"/>
  <c r="E86" i="28" s="1"/>
  <c r="G85" i="28" a="1"/>
  <c r="G85" i="28" s="1"/>
  <c r="E85" i="28" a="1"/>
  <c r="E85" i="28" s="1"/>
  <c r="G84" i="28" a="1"/>
  <c r="G84" i="28" s="1"/>
  <c r="E84" i="28" a="1"/>
  <c r="E84" i="28" s="1"/>
  <c r="G83" i="28" a="1"/>
  <c r="G83" i="28" s="1"/>
  <c r="E83" i="28" a="1"/>
  <c r="E83" i="28" s="1"/>
  <c r="G82" i="28" a="1"/>
  <c r="G82" i="28" s="1"/>
  <c r="E82" i="28" a="1"/>
  <c r="E82" i="28" s="1"/>
  <c r="G81" i="28" a="1"/>
  <c r="G81" i="28" s="1"/>
  <c r="E81" i="28" a="1"/>
  <c r="E81" i="28" s="1"/>
  <c r="G80" i="28" a="1"/>
  <c r="G80" i="28" s="1"/>
  <c r="E80" i="28" a="1"/>
  <c r="E80" i="28" s="1"/>
  <c r="G79" i="28" a="1"/>
  <c r="G79" i="28" s="1"/>
  <c r="E79" i="28" a="1"/>
  <c r="E79" i="28" s="1"/>
  <c r="G129" i="28" a="1"/>
  <c r="G129" i="28" s="1"/>
  <c r="E129" i="28" a="1"/>
  <c r="E129" i="28" s="1"/>
  <c r="G78" i="28" a="1"/>
  <c r="G78" i="28" s="1"/>
  <c r="E78" i="28" a="1"/>
  <c r="E78" i="28" s="1"/>
  <c r="E110" i="20" a="1"/>
  <c r="E110" i="20" s="1"/>
  <c r="G110" i="20" a="1"/>
  <c r="G110" i="20" s="1"/>
  <c r="G191" i="20" a="1"/>
  <c r="G191" i="20" s="1"/>
  <c r="G192" i="20" a="1"/>
  <c r="G192" i="20" s="1"/>
  <c r="G193" i="20" a="1"/>
  <c r="G193" i="20" s="1"/>
  <c r="G194" i="20" a="1"/>
  <c r="G194" i="20" s="1"/>
  <c r="E174" i="20" a="1"/>
  <c r="E174" i="20" s="1"/>
  <c r="E175" i="20" a="1"/>
  <c r="E175" i="20" s="1"/>
  <c r="E176" i="20" a="1"/>
  <c r="E176" i="20" s="1"/>
  <c r="E177" i="20" a="1"/>
  <c r="E177" i="20" s="1"/>
  <c r="E178" i="20" a="1"/>
  <c r="E178" i="20" s="1"/>
  <c r="E179" i="20" a="1"/>
  <c r="E179" i="20" s="1"/>
  <c r="E180" i="20" a="1"/>
  <c r="E180" i="20" s="1"/>
  <c r="E181" i="20" a="1"/>
  <c r="E181" i="20" s="1"/>
  <c r="E182" i="20" a="1"/>
  <c r="E182" i="20" s="1"/>
  <c r="E183" i="20" a="1"/>
  <c r="E183" i="20" s="1"/>
  <c r="E184" i="20" a="1"/>
  <c r="E184" i="20" s="1"/>
  <c r="E185" i="20" a="1"/>
  <c r="E185" i="20" s="1"/>
  <c r="E186" i="20" a="1"/>
  <c r="E186" i="20" s="1"/>
  <c r="E187" i="20" a="1"/>
  <c r="E187" i="20" s="1"/>
  <c r="E188" i="20" a="1"/>
  <c r="E188" i="20" s="1"/>
  <c r="E189" i="20" a="1"/>
  <c r="E189" i="20" s="1"/>
  <c r="E190" i="20" a="1"/>
  <c r="E190" i="20" s="1"/>
  <c r="E191" i="20" a="1"/>
  <c r="E191" i="20" s="1"/>
  <c r="E192" i="20" a="1"/>
  <c r="E192" i="20" s="1"/>
  <c r="E193" i="20" a="1"/>
  <c r="E193" i="20" s="1"/>
  <c r="E194" i="20" a="1"/>
  <c r="E194" i="20" s="1"/>
  <c r="E90" i="20" a="1"/>
  <c r="E90" i="20" s="1"/>
  <c r="E91" i="20" a="1"/>
  <c r="E91" i="20" s="1"/>
  <c r="G90" i="20" a="1"/>
  <c r="G90" i="20" s="1"/>
  <c r="G91" i="20" a="1"/>
  <c r="G91" i="20" s="1"/>
  <c r="E87" i="20" a="1"/>
  <c r="E87" i="20" s="1"/>
  <c r="E88" i="20" a="1"/>
  <c r="E88" i="20" s="1"/>
  <c r="E89" i="20" a="1"/>
  <c r="E89" i="20" s="1"/>
  <c r="G87" i="20" a="1"/>
  <c r="G87" i="20" s="1"/>
  <c r="G88" i="20" a="1"/>
  <c r="G88" i="20" s="1"/>
  <c r="G89" i="20" a="1"/>
  <c r="G89" i="20" s="1"/>
  <c r="E86" i="20" a="1"/>
  <c r="E86" i="20" s="1"/>
  <c r="G86" i="20" a="1"/>
  <c r="G86" i="20" s="1"/>
  <c r="E78" i="20" a="1"/>
  <c r="E78" i="20" s="1"/>
  <c r="E79" i="20" a="1"/>
  <c r="E79" i="20" s="1"/>
  <c r="E80" i="20" a="1"/>
  <c r="E80" i="20" s="1"/>
  <c r="E21" i="20" a="1"/>
  <c r="E21" i="20" s="1"/>
  <c r="E81" i="20" a="1"/>
  <c r="E81" i="20" s="1"/>
  <c r="E82" i="20" a="1"/>
  <c r="E82" i="20" s="1"/>
  <c r="E83" i="20" a="1"/>
  <c r="E83" i="20" s="1"/>
  <c r="E84" i="20" a="1"/>
  <c r="E84" i="20" s="1"/>
  <c r="E85" i="20" a="1"/>
  <c r="E85" i="20" s="1"/>
  <c r="G78" i="20" a="1"/>
  <c r="G78" i="20" s="1"/>
  <c r="G79" i="20" a="1"/>
  <c r="G79" i="20" s="1"/>
  <c r="G80" i="20" a="1"/>
  <c r="G80" i="20" s="1"/>
  <c r="G21" i="20" a="1"/>
  <c r="G21" i="20" s="1"/>
  <c r="G81" i="20" a="1"/>
  <c r="G81" i="20" s="1"/>
  <c r="G82" i="20" a="1"/>
  <c r="G82" i="20" s="1"/>
  <c r="G83" i="20" a="1"/>
  <c r="G83" i="20" s="1"/>
  <c r="G84" i="20" a="1"/>
  <c r="G84" i="20" s="1"/>
  <c r="G85" i="20" a="1"/>
  <c r="G85" i="20" s="1"/>
  <c r="E20" i="20" a="1"/>
  <c r="E20" i="20" s="1"/>
  <c r="G20" i="20" a="1"/>
  <c r="G20" i="20" s="1"/>
  <c r="E60" i="20" a="1"/>
  <c r="E60" i="20" s="1"/>
  <c r="G60" i="20" a="1"/>
  <c r="G60" i="20" s="1"/>
  <c r="E61" i="20" a="1"/>
  <c r="E61" i="20" s="1"/>
  <c r="E19" i="20" a="1"/>
  <c r="E19" i="20" s="1"/>
  <c r="G61" i="20" a="1"/>
  <c r="G61" i="20" s="1"/>
  <c r="G19" i="20" a="1"/>
  <c r="G19" i="20" s="1"/>
  <c r="E76" i="20" a="1"/>
  <c r="E76" i="20" s="1"/>
  <c r="G76" i="20" a="1"/>
  <c r="G76" i="20" s="1"/>
  <c r="E77" i="20" a="1"/>
  <c r="E77" i="20" s="1"/>
  <c r="E18" i="20" a="1"/>
  <c r="E18" i="20" s="1"/>
  <c r="G77" i="20" a="1"/>
  <c r="G77" i="20" s="1"/>
  <c r="G18" i="20" a="1"/>
  <c r="G18" i="20" s="1"/>
  <c r="E17" i="20" a="1"/>
  <c r="E17" i="20" s="1"/>
  <c r="G17" i="20" a="1"/>
  <c r="G17" i="20" s="1"/>
  <c r="G178" i="20" a="1"/>
  <c r="G178" i="20" s="1"/>
  <c r="G10" i="20" l="1" a="1"/>
  <c r="G10" i="20" s="1"/>
  <c r="E10" i="20" a="1"/>
  <c r="E10" i="20" s="1"/>
  <c r="G3" i="20" a="1"/>
  <c r="G3" i="20" s="1"/>
  <c r="G4" i="20" a="1"/>
  <c r="G4" i="20" s="1"/>
  <c r="G5" i="20" a="1"/>
  <c r="G5" i="20" s="1"/>
  <c r="G6" i="20" a="1"/>
  <c r="G6" i="20" s="1"/>
  <c r="G7" i="20" a="1"/>
  <c r="G7" i="20" s="1"/>
  <c r="G8" i="20" a="1"/>
  <c r="G8" i="20" s="1"/>
  <c r="G9" i="20" a="1"/>
  <c r="G9" i="20" s="1"/>
  <c r="G11" i="20" a="1"/>
  <c r="G11" i="20" s="1"/>
  <c r="G12" i="20" a="1"/>
  <c r="G12" i="20" s="1"/>
  <c r="G13" i="20" a="1"/>
  <c r="G13" i="20" s="1"/>
  <c r="G14" i="20" a="1"/>
  <c r="G14" i="20" s="1"/>
  <c r="G15" i="20" a="1"/>
  <c r="G15" i="20" s="1"/>
  <c r="G16" i="20" a="1"/>
  <c r="G16" i="20" s="1"/>
  <c r="G22" i="20" a="1"/>
  <c r="G22" i="20" s="1"/>
  <c r="G23" i="20" a="1"/>
  <c r="G23" i="20" s="1"/>
  <c r="G24" i="20" a="1"/>
  <c r="G24" i="20" s="1"/>
  <c r="G25" i="20" a="1"/>
  <c r="G25" i="20" s="1"/>
  <c r="G26" i="20" a="1"/>
  <c r="G26" i="20" s="1"/>
  <c r="G27" i="20" a="1"/>
  <c r="G27" i="20" s="1"/>
  <c r="G28" i="20" a="1"/>
  <c r="G28" i="20" s="1"/>
  <c r="G29" i="20" a="1"/>
  <c r="G29" i="20" s="1"/>
  <c r="G30" i="20" a="1"/>
  <c r="G30" i="20" s="1"/>
  <c r="G31" i="20" a="1"/>
  <c r="G31" i="20" s="1"/>
  <c r="G32" i="20" a="1"/>
  <c r="G32" i="20" s="1"/>
  <c r="G33" i="20" a="1"/>
  <c r="G33" i="20" s="1"/>
  <c r="G34" i="20" a="1"/>
  <c r="G34" i="20" s="1"/>
  <c r="G35" i="20" a="1"/>
  <c r="G35" i="20" s="1"/>
  <c r="G36" i="20" a="1"/>
  <c r="G36" i="20" s="1"/>
  <c r="G37" i="20" a="1"/>
  <c r="G37" i="20" s="1"/>
  <c r="G38" i="20" a="1"/>
  <c r="G38" i="20" s="1"/>
  <c r="G39" i="20" a="1"/>
  <c r="G39" i="20" s="1"/>
  <c r="G40" i="20" a="1"/>
  <c r="G40" i="20" s="1"/>
  <c r="G41" i="20" a="1"/>
  <c r="G41" i="20" s="1"/>
  <c r="G42" i="20" a="1"/>
  <c r="G42" i="20" s="1"/>
  <c r="G43" i="20" a="1"/>
  <c r="G43" i="20" s="1"/>
  <c r="G44" i="20" a="1"/>
  <c r="G44" i="20" s="1"/>
  <c r="G45" i="20" a="1"/>
  <c r="G45" i="20" s="1"/>
  <c r="G46" i="20" a="1"/>
  <c r="G46" i="20" s="1"/>
  <c r="G47" i="20" a="1"/>
  <c r="G47" i="20" s="1"/>
  <c r="G48" i="20" a="1"/>
  <c r="G48" i="20" s="1"/>
  <c r="G49" i="20" a="1"/>
  <c r="G49" i="20" s="1"/>
  <c r="G50" i="20" a="1"/>
  <c r="G50" i="20" s="1"/>
  <c r="G51" i="20" a="1"/>
  <c r="G51" i="20" s="1"/>
  <c r="G52" i="20" a="1"/>
  <c r="G52" i="20" s="1"/>
  <c r="G53" i="20" a="1"/>
  <c r="G53" i="20" s="1"/>
  <c r="G54" i="20" a="1"/>
  <c r="G54" i="20" s="1"/>
  <c r="G55" i="20" a="1"/>
  <c r="G55" i="20" s="1"/>
  <c r="G56" i="20" a="1"/>
  <c r="G56" i="20" s="1"/>
  <c r="G57" i="20" a="1"/>
  <c r="G57" i="20" s="1"/>
  <c r="G58" i="20" a="1"/>
  <c r="G58" i="20" s="1"/>
  <c r="G59" i="20" a="1"/>
  <c r="G59" i="20" s="1"/>
  <c r="G62" i="20" a="1"/>
  <c r="G62" i="20" s="1"/>
  <c r="G63" i="20" a="1"/>
  <c r="G63" i="20" s="1"/>
  <c r="G64" i="20" a="1"/>
  <c r="G64" i="20" s="1"/>
  <c r="G65" i="20" a="1"/>
  <c r="G65" i="20" s="1"/>
  <c r="G66" i="20" a="1"/>
  <c r="G66" i="20" s="1"/>
  <c r="G67" i="20" a="1"/>
  <c r="G67" i="20" s="1"/>
  <c r="G68" i="20" a="1"/>
  <c r="G68" i="20" s="1"/>
  <c r="G69" i="20" a="1"/>
  <c r="G69" i="20" s="1"/>
  <c r="G70" i="20" a="1"/>
  <c r="G70" i="20" s="1"/>
  <c r="G71" i="20" a="1"/>
  <c r="G71" i="20" s="1"/>
  <c r="G72" i="20" a="1"/>
  <c r="G72" i="20" s="1"/>
  <c r="G73" i="20" a="1"/>
  <c r="G73" i="20" s="1"/>
  <c r="G74" i="20" a="1"/>
  <c r="G74" i="20" s="1"/>
  <c r="G75" i="20" a="1"/>
  <c r="G75" i="20" s="1"/>
  <c r="G106" i="20" a="1"/>
  <c r="G106" i="20" s="1"/>
  <c r="G107" i="20" a="1"/>
  <c r="G107" i="20" s="1"/>
  <c r="G108" i="20" a="1"/>
  <c r="G108" i="20" s="1"/>
  <c r="G109" i="20" a="1"/>
  <c r="G109" i="20" s="1"/>
  <c r="G111" i="20" a="1"/>
  <c r="G111" i="20" s="1"/>
  <c r="G112" i="20" a="1"/>
  <c r="G112" i="20" s="1"/>
  <c r="G113" i="20" a="1"/>
  <c r="G113" i="20" s="1"/>
  <c r="G114" i="20" a="1"/>
  <c r="G114" i="20" s="1"/>
  <c r="G115" i="20" a="1"/>
  <c r="G115" i="20" s="1"/>
  <c r="G116" i="20" a="1"/>
  <c r="G116" i="20" s="1"/>
  <c r="G117" i="20" a="1"/>
  <c r="G117" i="20" s="1"/>
  <c r="G118" i="20" a="1"/>
  <c r="G118" i="20" s="1"/>
  <c r="G119" i="20" a="1"/>
  <c r="G119" i="20" s="1"/>
  <c r="G120" i="20" a="1"/>
  <c r="G120" i="20" s="1"/>
  <c r="G121" i="20" a="1"/>
  <c r="G121" i="20" s="1"/>
  <c r="G122" i="20" a="1"/>
  <c r="G122" i="20" s="1"/>
  <c r="G147" i="20" a="1"/>
  <c r="G147" i="20" s="1"/>
  <c r="G123" i="20" a="1"/>
  <c r="G123" i="20" s="1"/>
  <c r="G124" i="20" a="1"/>
  <c r="G124" i="20" s="1"/>
  <c r="G125" i="20" a="1"/>
  <c r="G125" i="20" s="1"/>
  <c r="G126" i="20" a="1"/>
  <c r="G126" i="20" s="1"/>
  <c r="G127" i="20" a="1"/>
  <c r="G127" i="20" s="1"/>
  <c r="G128" i="20" a="1"/>
  <c r="G128" i="20" s="1"/>
  <c r="G129" i="20" a="1"/>
  <c r="G129" i="20" s="1"/>
  <c r="G130" i="20" a="1"/>
  <c r="G130" i="20" s="1"/>
  <c r="G131" i="20" a="1"/>
  <c r="G131" i="20" s="1"/>
  <c r="G132" i="20" a="1"/>
  <c r="G132" i="20" s="1"/>
  <c r="G133" i="20" a="1"/>
  <c r="G133" i="20" s="1"/>
  <c r="G134" i="20" a="1"/>
  <c r="G134" i="20" s="1"/>
  <c r="G135" i="20" a="1"/>
  <c r="G135" i="20" s="1"/>
  <c r="G136" i="20" a="1"/>
  <c r="G136" i="20" s="1"/>
  <c r="G137" i="20" a="1"/>
  <c r="G137" i="20" s="1"/>
  <c r="G138" i="20" a="1"/>
  <c r="G138" i="20" s="1"/>
  <c r="G139" i="20" a="1"/>
  <c r="G139" i="20" s="1"/>
  <c r="G140" i="20" a="1"/>
  <c r="G140" i="20" s="1"/>
  <c r="G141" i="20" a="1"/>
  <c r="G141" i="20" s="1"/>
  <c r="G142" i="20" a="1"/>
  <c r="G142" i="20" s="1"/>
  <c r="G143" i="20" a="1"/>
  <c r="G143" i="20" s="1"/>
  <c r="G144" i="20" a="1"/>
  <c r="G144" i="20" s="1"/>
  <c r="G145" i="20" a="1"/>
  <c r="G145" i="20" s="1"/>
  <c r="G146" i="20" a="1"/>
  <c r="G146" i="20" s="1"/>
  <c r="G148" i="20" a="1"/>
  <c r="G148" i="20" s="1"/>
  <c r="G149" i="20" a="1"/>
  <c r="G149" i="20" s="1"/>
  <c r="G150" i="20" a="1"/>
  <c r="G150" i="20" s="1"/>
  <c r="G151" i="20" a="1"/>
  <c r="G151" i="20" s="1"/>
  <c r="G152" i="20" a="1"/>
  <c r="G152" i="20" s="1"/>
  <c r="G153" i="20" a="1"/>
  <c r="G153" i="20" s="1"/>
  <c r="G154" i="20" a="1"/>
  <c r="G154" i="20" s="1"/>
  <c r="G155" i="20" a="1"/>
  <c r="G155" i="20" s="1"/>
  <c r="G156" i="20" a="1"/>
  <c r="G156" i="20" s="1"/>
  <c r="G157" i="20" a="1"/>
  <c r="G157" i="20" s="1"/>
  <c r="G158" i="20" a="1"/>
  <c r="G158" i="20" s="1"/>
  <c r="G159" i="20" a="1"/>
  <c r="G159" i="20" s="1"/>
  <c r="G160" i="20" a="1"/>
  <c r="G160" i="20" s="1"/>
  <c r="G161" i="20" a="1"/>
  <c r="G161" i="20" s="1"/>
  <c r="G162" i="20" a="1"/>
  <c r="G162" i="20" s="1"/>
  <c r="G163" i="20" a="1"/>
  <c r="G163" i="20" s="1"/>
  <c r="G164" i="20" a="1"/>
  <c r="G164" i="20" s="1"/>
  <c r="G165" i="20" a="1"/>
  <c r="G165" i="20" s="1"/>
  <c r="G166" i="20" a="1"/>
  <c r="G166" i="20" s="1"/>
  <c r="G167" i="20" a="1"/>
  <c r="G167" i="20" s="1"/>
  <c r="G168" i="20" a="1"/>
  <c r="G168" i="20" s="1"/>
  <c r="G169" i="20" a="1"/>
  <c r="G169" i="20" s="1"/>
  <c r="G170" i="20" a="1"/>
  <c r="G170" i="20" s="1"/>
  <c r="G171" i="20" a="1"/>
  <c r="G171" i="20" s="1"/>
  <c r="G172" i="20" a="1"/>
  <c r="G172" i="20" s="1"/>
  <c r="G173" i="20" a="1"/>
  <c r="G173" i="20" s="1"/>
  <c r="G174" i="20" a="1"/>
  <c r="G174" i="20" s="1"/>
  <c r="G175" i="20" a="1"/>
  <c r="G175" i="20" s="1"/>
  <c r="G176" i="20" a="1"/>
  <c r="G176" i="20" s="1"/>
  <c r="G177" i="20" a="1"/>
  <c r="G177" i="20" s="1"/>
  <c r="G179" i="20" a="1"/>
  <c r="G179" i="20" s="1"/>
  <c r="G180" i="20" a="1"/>
  <c r="G180" i="20" s="1"/>
  <c r="G181" i="20" a="1"/>
  <c r="G181" i="20" s="1"/>
  <c r="G182" i="20" a="1"/>
  <c r="G182" i="20" s="1"/>
  <c r="G183" i="20" a="1"/>
  <c r="G183" i="20" s="1"/>
  <c r="G184" i="20" a="1"/>
  <c r="G184" i="20" s="1"/>
  <c r="G185" i="20" a="1"/>
  <c r="G185" i="20" s="1"/>
  <c r="G186" i="20" a="1"/>
  <c r="G186" i="20" s="1"/>
  <c r="G187" i="20" a="1"/>
  <c r="G187" i="20" s="1"/>
  <c r="G188" i="20" a="1"/>
  <c r="G188" i="20" s="1"/>
  <c r="G189" i="20" a="1"/>
  <c r="G189" i="20" s="1"/>
  <c r="G190" i="20" a="1"/>
  <c r="G190" i="20" s="1"/>
  <c r="E3" i="20" a="1"/>
  <c r="E3" i="20" s="1"/>
  <c r="E4" i="20" a="1"/>
  <c r="E4" i="20" s="1"/>
  <c r="E5" i="20" a="1"/>
  <c r="E5" i="20" s="1"/>
  <c r="E6" i="20" a="1"/>
  <c r="E6" i="20" s="1"/>
  <c r="E7" i="20" a="1"/>
  <c r="E7" i="20" s="1"/>
  <c r="E8" i="20" a="1"/>
  <c r="E8" i="20" s="1"/>
  <c r="E9" i="20" a="1"/>
  <c r="E9" i="20" s="1"/>
  <c r="E11" i="20" a="1"/>
  <c r="E11" i="20" s="1"/>
  <c r="E12" i="20" a="1"/>
  <c r="E12" i="20" s="1"/>
  <c r="E13" i="20" a="1"/>
  <c r="E13" i="20" s="1"/>
  <c r="E14" i="20" a="1"/>
  <c r="E14" i="20" s="1"/>
  <c r="E15" i="20" a="1"/>
  <c r="E15" i="20" s="1"/>
  <c r="E16" i="20" a="1"/>
  <c r="E16" i="20" s="1"/>
  <c r="E22" i="20" a="1"/>
  <c r="E22" i="20" s="1"/>
  <c r="E23" i="20" a="1"/>
  <c r="E23" i="20" s="1"/>
  <c r="E24" i="20" a="1"/>
  <c r="E24" i="20" s="1"/>
  <c r="E25" i="20" a="1"/>
  <c r="E25" i="20" s="1"/>
  <c r="E26" i="20" a="1"/>
  <c r="E26" i="20" s="1"/>
  <c r="E27" i="20" a="1"/>
  <c r="E27" i="20" s="1"/>
  <c r="E28" i="20" a="1"/>
  <c r="E28" i="20" s="1"/>
  <c r="E29" i="20" a="1"/>
  <c r="E29" i="20" s="1"/>
  <c r="E30" i="20" a="1"/>
  <c r="E30" i="20" s="1"/>
  <c r="E31" i="20" a="1"/>
  <c r="E31" i="20" s="1"/>
  <c r="E32" i="20" a="1"/>
  <c r="E32" i="20" s="1"/>
  <c r="E33" i="20" a="1"/>
  <c r="E33" i="20" s="1"/>
  <c r="E34" i="20" a="1"/>
  <c r="E34" i="20" s="1"/>
  <c r="E35" i="20" a="1"/>
  <c r="E35" i="20" s="1"/>
  <c r="E36" i="20" a="1"/>
  <c r="E36" i="20" s="1"/>
  <c r="E37" i="20" a="1"/>
  <c r="E37" i="20" s="1"/>
  <c r="E38" i="20" a="1"/>
  <c r="E38" i="20" s="1"/>
  <c r="E39" i="20" a="1"/>
  <c r="E39" i="20" s="1"/>
  <c r="E40" i="20" a="1"/>
  <c r="E40" i="20" s="1"/>
  <c r="E41" i="20" a="1"/>
  <c r="E41" i="20" s="1"/>
  <c r="E42" i="20" a="1"/>
  <c r="E42" i="20" s="1"/>
  <c r="E43" i="20" a="1"/>
  <c r="E43" i="20" s="1"/>
  <c r="E44" i="20" a="1"/>
  <c r="E44" i="20" s="1"/>
  <c r="E45" i="20" a="1"/>
  <c r="E45" i="20" s="1"/>
  <c r="E46" i="20" a="1"/>
  <c r="E46" i="20" s="1"/>
  <c r="E47" i="20" a="1"/>
  <c r="E47" i="20" s="1"/>
  <c r="E48" i="20" a="1"/>
  <c r="E48" i="20" s="1"/>
  <c r="E49" i="20" a="1"/>
  <c r="E49" i="20" s="1"/>
  <c r="E50" i="20" a="1"/>
  <c r="E50" i="20" s="1"/>
  <c r="E51" i="20" a="1"/>
  <c r="E51" i="20" s="1"/>
  <c r="E52" i="20" a="1"/>
  <c r="E52" i="20" s="1"/>
  <c r="E53" i="20" a="1"/>
  <c r="E53" i="20" s="1"/>
  <c r="E54" i="20" a="1"/>
  <c r="E54" i="20" s="1"/>
  <c r="E55" i="20" a="1"/>
  <c r="E55" i="20" s="1"/>
  <c r="E56" i="20" a="1"/>
  <c r="E56" i="20" s="1"/>
  <c r="E57" i="20" a="1"/>
  <c r="E57" i="20" s="1"/>
  <c r="E58" i="20" a="1"/>
  <c r="E58" i="20" s="1"/>
  <c r="E59" i="20" a="1"/>
  <c r="E59" i="20" s="1"/>
  <c r="E62" i="20" a="1"/>
  <c r="E62" i="20" s="1"/>
  <c r="E63" i="20" a="1"/>
  <c r="E63" i="20" s="1"/>
  <c r="E64" i="20" a="1"/>
  <c r="E64" i="20" s="1"/>
  <c r="E65" i="20" a="1"/>
  <c r="E65" i="20" s="1"/>
  <c r="E66" i="20" a="1"/>
  <c r="E66" i="20" s="1"/>
  <c r="E67" i="20" a="1"/>
  <c r="E67" i="20" s="1"/>
  <c r="E68" i="20" a="1"/>
  <c r="E68" i="20" s="1"/>
  <c r="E69" i="20" a="1"/>
  <c r="E69" i="20" s="1"/>
  <c r="E70" i="20" a="1"/>
  <c r="E70" i="20" s="1"/>
  <c r="E71" i="20" a="1"/>
  <c r="E71" i="20" s="1"/>
  <c r="E72" i="20" a="1"/>
  <c r="E72" i="20" s="1"/>
  <c r="E73" i="20" a="1"/>
  <c r="E73" i="20" s="1"/>
  <c r="E74" i="20" a="1"/>
  <c r="E74" i="20" s="1"/>
  <c r="E75" i="20" a="1"/>
  <c r="E75" i="20" s="1"/>
  <c r="E106" i="20" a="1"/>
  <c r="E106" i="20" s="1"/>
  <c r="E107" i="20" a="1"/>
  <c r="E107" i="20" s="1"/>
  <c r="E108" i="20" a="1"/>
  <c r="E108" i="20" s="1"/>
  <c r="E109" i="20" a="1"/>
  <c r="E109" i="20" s="1"/>
  <c r="E111" i="20" a="1"/>
  <c r="E111" i="20" s="1"/>
  <c r="E112" i="20" a="1"/>
  <c r="E112" i="20" s="1"/>
  <c r="E113" i="20" a="1"/>
  <c r="E113" i="20" s="1"/>
  <c r="E114" i="20" a="1"/>
  <c r="E114" i="20" s="1"/>
  <c r="E115" i="20" a="1"/>
  <c r="E115" i="20" s="1"/>
  <c r="E116" i="20" a="1"/>
  <c r="E116" i="20" s="1"/>
  <c r="E117" i="20" a="1"/>
  <c r="E117" i="20" s="1"/>
  <c r="E118" i="20" a="1"/>
  <c r="E118" i="20" s="1"/>
  <c r="E119" i="20" a="1"/>
  <c r="E119" i="20" s="1"/>
  <c r="E120" i="20" a="1"/>
  <c r="E120" i="20" s="1"/>
  <c r="E121" i="20" a="1"/>
  <c r="E121" i="20" s="1"/>
  <c r="E122" i="20" a="1"/>
  <c r="E122" i="20" s="1"/>
  <c r="E147" i="20" a="1"/>
  <c r="E147" i="20" s="1"/>
  <c r="E123" i="20" a="1"/>
  <c r="E123" i="20" s="1"/>
  <c r="E124" i="20" a="1"/>
  <c r="E124" i="20" s="1"/>
  <c r="E125" i="20" a="1"/>
  <c r="E125" i="20" s="1"/>
  <c r="E126" i="20" a="1"/>
  <c r="E126" i="20" s="1"/>
  <c r="E127" i="20" a="1"/>
  <c r="E127" i="20" s="1"/>
  <c r="E128" i="20" a="1"/>
  <c r="E128" i="20" s="1"/>
  <c r="E129" i="20" a="1"/>
  <c r="E129" i="20" s="1"/>
  <c r="E130" i="20" a="1"/>
  <c r="E130" i="20" s="1"/>
  <c r="E131" i="20" a="1"/>
  <c r="E131" i="20" s="1"/>
  <c r="E132" i="20" a="1"/>
  <c r="E132" i="20" s="1"/>
  <c r="E133" i="20" a="1"/>
  <c r="E133" i="20" s="1"/>
  <c r="E134" i="20" a="1"/>
  <c r="E134" i="20" s="1"/>
  <c r="E135" i="20" a="1"/>
  <c r="E135" i="20" s="1"/>
  <c r="E136" i="20" a="1"/>
  <c r="E136" i="20" s="1"/>
  <c r="E137" i="20" a="1"/>
  <c r="E137" i="20" s="1"/>
  <c r="E138" i="20" a="1"/>
  <c r="E138" i="20" s="1"/>
  <c r="E139" i="20" a="1"/>
  <c r="E139" i="20" s="1"/>
  <c r="E140" i="20" a="1"/>
  <c r="E140" i="20" s="1"/>
  <c r="E141" i="20" a="1"/>
  <c r="E141" i="20" s="1"/>
  <c r="E142" i="20" a="1"/>
  <c r="E142" i="20" s="1"/>
  <c r="E143" i="20" a="1"/>
  <c r="E143" i="20" s="1"/>
  <c r="E144" i="20" a="1"/>
  <c r="E144" i="20" s="1"/>
  <c r="E145" i="20" a="1"/>
  <c r="E145" i="20" s="1"/>
  <c r="E146" i="20" a="1"/>
  <c r="E146" i="20" s="1"/>
  <c r="E148" i="20" a="1"/>
  <c r="E148" i="20" s="1"/>
  <c r="E149" i="20" a="1"/>
  <c r="E149" i="20" s="1"/>
  <c r="E150" i="20" a="1"/>
  <c r="E150" i="20" s="1"/>
  <c r="E151" i="20" a="1"/>
  <c r="E151" i="20" s="1"/>
  <c r="E152" i="20" a="1"/>
  <c r="E152" i="20" s="1"/>
  <c r="E153" i="20" a="1"/>
  <c r="E153" i="20" s="1"/>
  <c r="E154" i="20" a="1"/>
  <c r="E154" i="20" s="1"/>
  <c r="E155" i="20" a="1"/>
  <c r="E155" i="20" s="1"/>
  <c r="E156" i="20" a="1"/>
  <c r="E156" i="20" s="1"/>
  <c r="E157" i="20" a="1"/>
  <c r="E157" i="20" s="1"/>
  <c r="E158" i="20" a="1"/>
  <c r="E158" i="20" s="1"/>
  <c r="E159" i="20" a="1"/>
  <c r="E159" i="20" s="1"/>
  <c r="E160" i="20" a="1"/>
  <c r="E160" i="20" s="1"/>
  <c r="E161" i="20" a="1"/>
  <c r="E161" i="20" s="1"/>
  <c r="E162" i="20" a="1"/>
  <c r="E162" i="20" s="1"/>
  <c r="E163" i="20" a="1"/>
  <c r="E163" i="20" s="1"/>
  <c r="E164" i="20" a="1"/>
  <c r="E164" i="20" s="1"/>
  <c r="E165" i="20" a="1"/>
  <c r="E165" i="20" s="1"/>
  <c r="E166" i="20" a="1"/>
  <c r="E166" i="20" s="1"/>
  <c r="E167" i="20" a="1"/>
  <c r="E167" i="20" s="1"/>
  <c r="E168" i="20" a="1"/>
  <c r="E168" i="20" s="1"/>
  <c r="E169" i="20" a="1"/>
  <c r="E169" i="20" s="1"/>
  <c r="E170" i="20" a="1"/>
  <c r="E170" i="20" s="1"/>
  <c r="E171" i="20" a="1"/>
  <c r="E171" i="20" s="1"/>
  <c r="E172" i="20" a="1"/>
  <c r="E172" i="20" s="1"/>
  <c r="E173" i="20" a="1"/>
  <c r="E173" i="20" s="1"/>
  <c r="G2" i="20" l="1" a="1"/>
  <c r="G2" i="20" s="1"/>
  <c r="E2" i="20" a="1"/>
  <c r="E2" i="20" s="1"/>
  <c r="F92" i="13" a="1"/>
  <c r="F92" i="13" s="1"/>
  <c r="F91" i="13" a="1"/>
  <c r="F91" i="13" s="1"/>
  <c r="F90" i="13" a="1"/>
  <c r="F90" i="13" s="1"/>
  <c r="F89" i="13" a="1"/>
  <c r="F89" i="13" s="1"/>
  <c r="F88" i="13" a="1"/>
  <c r="F88" i="13" s="1"/>
  <c r="D92" i="13" a="1"/>
  <c r="D92" i="13" s="1"/>
  <c r="D91" i="13" a="1"/>
  <c r="D91" i="13" s="1"/>
  <c r="D90" i="13" a="1"/>
  <c r="D90" i="13" s="1"/>
  <c r="D89" i="13" a="1"/>
  <c r="D89" i="13" s="1"/>
  <c r="D88" i="13" a="1"/>
  <c r="D88" i="13" s="1"/>
  <c r="F87" i="13" a="1"/>
  <c r="F87" i="13" s="1"/>
  <c r="D87" i="13" a="1"/>
  <c r="D87" i="13" s="1"/>
  <c r="D3" i="13" a="1"/>
  <c r="D3" i="13" s="1"/>
  <c r="D4" i="13" a="1"/>
  <c r="D4" i="13" s="1"/>
  <c r="D5" i="13" a="1"/>
  <c r="D5" i="13" s="1"/>
  <c r="D6" i="13" a="1"/>
  <c r="D6" i="13" s="1"/>
  <c r="D7" i="13" a="1"/>
  <c r="D7" i="13" s="1"/>
  <c r="D8" i="13" a="1"/>
  <c r="D8" i="13" s="1"/>
  <c r="D9" i="13" a="1"/>
  <c r="D9" i="13" s="1"/>
  <c r="D10" i="13" a="1"/>
  <c r="D10" i="13" s="1"/>
  <c r="D11" i="13" a="1"/>
  <c r="D11" i="13" s="1"/>
  <c r="D13" i="13" a="1"/>
  <c r="D13" i="13" s="1"/>
  <c r="D14" i="13" a="1"/>
  <c r="D14" i="13" s="1"/>
  <c r="D15" i="13" a="1"/>
  <c r="D15" i="13" s="1"/>
  <c r="D16" i="13" a="1"/>
  <c r="D16" i="13" s="1"/>
  <c r="D17" i="13" a="1"/>
  <c r="D17" i="13" s="1"/>
  <c r="D18" i="13" a="1"/>
  <c r="D18" i="13" s="1"/>
  <c r="D19" i="13" a="1"/>
  <c r="D19" i="13" s="1"/>
  <c r="D20" i="13" a="1"/>
  <c r="D20" i="13" s="1"/>
  <c r="D21" i="13" a="1"/>
  <c r="D21" i="13" s="1"/>
  <c r="D22" i="13" a="1"/>
  <c r="D22" i="13" s="1"/>
  <c r="D23" i="13" a="1"/>
  <c r="D23" i="13" s="1"/>
  <c r="D24" i="13" a="1"/>
  <c r="D24" i="13" s="1"/>
  <c r="D25" i="13" a="1"/>
  <c r="D25" i="13" s="1"/>
  <c r="D26" i="13" a="1"/>
  <c r="D26" i="13" s="1"/>
  <c r="D27" i="13" a="1"/>
  <c r="D27" i="13" s="1"/>
  <c r="D28" i="13" a="1"/>
  <c r="D28" i="13" s="1"/>
  <c r="D29" i="13" a="1"/>
  <c r="D29" i="13" s="1"/>
  <c r="D30" i="13" a="1"/>
  <c r="D30" i="13" s="1"/>
  <c r="D31" i="13" a="1"/>
  <c r="D31" i="13" s="1"/>
  <c r="D32" i="13" a="1"/>
  <c r="D32" i="13" s="1"/>
  <c r="D33" i="13" a="1"/>
  <c r="D33" i="13" s="1"/>
  <c r="D34" i="13" a="1"/>
  <c r="D34" i="13" s="1"/>
  <c r="D35" i="13" a="1"/>
  <c r="D35" i="13" s="1"/>
  <c r="D36" i="13" a="1"/>
  <c r="D36" i="13" s="1"/>
  <c r="D37" i="13" a="1"/>
  <c r="D37" i="13" s="1"/>
  <c r="D38" i="13" a="1"/>
  <c r="D38" i="13" s="1"/>
  <c r="D12" i="13" a="1"/>
  <c r="D12" i="13" s="1"/>
  <c r="D39" i="13" a="1"/>
  <c r="D39" i="13" s="1"/>
  <c r="D40" i="13" a="1"/>
  <c r="D40" i="13" s="1"/>
  <c r="D41" i="13" a="1"/>
  <c r="D41" i="13" s="1"/>
  <c r="D42" i="13" a="1"/>
  <c r="D42" i="13" s="1"/>
  <c r="D43" i="13" a="1"/>
  <c r="D43" i="13" s="1"/>
  <c r="D44" i="13" a="1"/>
  <c r="D44" i="13" s="1"/>
  <c r="D45" i="13" a="1"/>
  <c r="D45" i="13" s="1"/>
  <c r="D46" i="13" a="1"/>
  <c r="D46" i="13" s="1"/>
  <c r="D47" i="13" a="1"/>
  <c r="D47" i="13" s="1"/>
  <c r="D48" i="13" a="1"/>
  <c r="D48" i="13" s="1"/>
  <c r="D49" i="13" a="1"/>
  <c r="D49" i="13" s="1"/>
  <c r="D50" i="13" a="1"/>
  <c r="D50" i="13" s="1"/>
  <c r="D51" i="13" a="1"/>
  <c r="D51" i="13" s="1"/>
  <c r="D52" i="13" a="1"/>
  <c r="D52" i="13" s="1"/>
  <c r="D53" i="13" a="1"/>
  <c r="D53" i="13" s="1"/>
  <c r="D54" i="13" a="1"/>
  <c r="D54" i="13" s="1"/>
  <c r="D55" i="13" a="1"/>
  <c r="D55" i="13" s="1"/>
  <c r="D56" i="13" a="1"/>
  <c r="D56" i="13" s="1"/>
  <c r="D57" i="13" a="1"/>
  <c r="D57" i="13" s="1"/>
  <c r="D58" i="13" a="1"/>
  <c r="D58" i="13" s="1"/>
  <c r="D59" i="13" a="1"/>
  <c r="D59" i="13" s="1"/>
  <c r="D60" i="13" a="1"/>
  <c r="D60" i="13" s="1"/>
  <c r="D61" i="13" a="1"/>
  <c r="D61" i="13" s="1"/>
  <c r="D62" i="13" a="1"/>
  <c r="D62" i="13" s="1"/>
  <c r="D63" i="13" a="1"/>
  <c r="D63" i="13" s="1"/>
  <c r="D64" i="13" a="1"/>
  <c r="D64" i="13" s="1"/>
  <c r="D65" i="13" a="1"/>
  <c r="D65" i="13" s="1"/>
  <c r="D66" i="13" a="1"/>
  <c r="D66" i="13" s="1"/>
  <c r="D67" i="13" a="1"/>
  <c r="D67" i="13" s="1"/>
  <c r="D68" i="13" a="1"/>
  <c r="D68" i="13" s="1"/>
  <c r="D69" i="13" a="1"/>
  <c r="D69" i="13" s="1"/>
  <c r="D70" i="13" a="1"/>
  <c r="D70" i="13" s="1"/>
  <c r="D71" i="13" a="1"/>
  <c r="D71" i="13" s="1"/>
  <c r="D72" i="13" a="1"/>
  <c r="D72" i="13" s="1"/>
  <c r="D73" i="13" a="1"/>
  <c r="D73" i="13" s="1"/>
  <c r="D74" i="13" a="1"/>
  <c r="D74" i="13" s="1"/>
  <c r="D75" i="13" a="1"/>
  <c r="D75" i="13" s="1"/>
  <c r="D76" i="13" a="1"/>
  <c r="D76" i="13" s="1"/>
  <c r="D77" i="13" a="1"/>
  <c r="D77" i="13" s="1"/>
  <c r="D78" i="13" a="1"/>
  <c r="D78" i="13" s="1"/>
  <c r="D79" i="13" a="1"/>
  <c r="D79" i="13" s="1"/>
  <c r="D80" i="13" a="1"/>
  <c r="D80" i="13" s="1"/>
  <c r="D81" i="13" a="1"/>
  <c r="D81" i="13" s="1"/>
  <c r="D82" i="13" a="1"/>
  <c r="D82" i="13" s="1"/>
  <c r="D83" i="13" a="1"/>
  <c r="D83" i="13" s="1"/>
  <c r="D84" i="13" a="1"/>
  <c r="D84" i="13" s="1"/>
  <c r="D85" i="13" a="1"/>
  <c r="D85" i="13" s="1"/>
  <c r="D86" i="13" a="1"/>
  <c r="D86" i="13" s="1"/>
  <c r="D2" i="13" a="1"/>
  <c r="D2" i="13" s="1"/>
  <c r="F3" i="13" a="1"/>
  <c r="F3" i="13" s="1"/>
  <c r="F4" i="13" a="1"/>
  <c r="F4" i="13" s="1"/>
  <c r="F5" i="13" a="1"/>
  <c r="F5" i="13" s="1"/>
  <c r="F6" i="13" a="1"/>
  <c r="F6" i="13" s="1"/>
  <c r="F7" i="13" a="1"/>
  <c r="F7" i="13" s="1"/>
  <c r="F8" i="13" a="1"/>
  <c r="F8" i="13" s="1"/>
  <c r="F9" i="13" a="1"/>
  <c r="F9" i="13" s="1"/>
  <c r="F10" i="13" a="1"/>
  <c r="F10" i="13" s="1"/>
  <c r="F11" i="13" a="1"/>
  <c r="F11" i="13" s="1"/>
  <c r="F13" i="13" a="1"/>
  <c r="F13" i="13" s="1"/>
  <c r="F14" i="13" a="1"/>
  <c r="F14" i="13" s="1"/>
  <c r="F15" i="13" a="1"/>
  <c r="F15" i="13" s="1"/>
  <c r="F16" i="13" a="1"/>
  <c r="F16" i="13" s="1"/>
  <c r="F17" i="13" a="1"/>
  <c r="F17" i="13" s="1"/>
  <c r="F18" i="13" a="1"/>
  <c r="F18" i="13" s="1"/>
  <c r="F19" i="13" a="1"/>
  <c r="F19" i="13" s="1"/>
  <c r="F20" i="13" a="1"/>
  <c r="F20" i="13" s="1"/>
  <c r="F21" i="13" a="1"/>
  <c r="F21" i="13" s="1"/>
  <c r="F22" i="13" a="1"/>
  <c r="F22" i="13" s="1"/>
  <c r="F23" i="13" a="1"/>
  <c r="F23" i="13" s="1"/>
  <c r="F24" i="13" a="1"/>
  <c r="F24" i="13" s="1"/>
  <c r="F25" i="13" a="1"/>
  <c r="F25" i="13" s="1"/>
  <c r="F26" i="13" a="1"/>
  <c r="F26" i="13" s="1"/>
  <c r="F27" i="13" a="1"/>
  <c r="F27" i="13" s="1"/>
  <c r="F28" i="13" a="1"/>
  <c r="F28" i="13" s="1"/>
  <c r="F29" i="13" a="1"/>
  <c r="F29" i="13" s="1"/>
  <c r="F30" i="13" a="1"/>
  <c r="F30" i="13" s="1"/>
  <c r="F31" i="13" a="1"/>
  <c r="F31" i="13" s="1"/>
  <c r="F32" i="13" a="1"/>
  <c r="F32" i="13" s="1"/>
  <c r="F33" i="13" a="1"/>
  <c r="F33" i="13" s="1"/>
  <c r="F34" i="13" a="1"/>
  <c r="F34" i="13" s="1"/>
  <c r="F35" i="13" a="1"/>
  <c r="F35" i="13" s="1"/>
  <c r="F36" i="13" a="1"/>
  <c r="F36" i="13" s="1"/>
  <c r="F37" i="13" a="1"/>
  <c r="F37" i="13" s="1"/>
  <c r="F38" i="13" a="1"/>
  <c r="F38" i="13" s="1"/>
  <c r="F12" i="13" a="1"/>
  <c r="F12" i="13" s="1"/>
  <c r="F39" i="13" a="1"/>
  <c r="F39" i="13" s="1"/>
  <c r="F40" i="13" a="1"/>
  <c r="F40" i="13" s="1"/>
  <c r="F41" i="13" a="1"/>
  <c r="F41" i="13" s="1"/>
  <c r="F42" i="13" a="1"/>
  <c r="F42" i="13" s="1"/>
  <c r="F43" i="13" a="1"/>
  <c r="F43" i="13" s="1"/>
  <c r="F44" i="13" a="1"/>
  <c r="F44" i="13" s="1"/>
  <c r="F45" i="13" a="1"/>
  <c r="F45" i="13" s="1"/>
  <c r="F46" i="13" a="1"/>
  <c r="F46" i="13" s="1"/>
  <c r="F47" i="13" a="1"/>
  <c r="F47" i="13" s="1"/>
  <c r="F48" i="13" a="1"/>
  <c r="F48" i="13" s="1"/>
  <c r="F49" i="13" a="1"/>
  <c r="F49" i="13" s="1"/>
  <c r="F50" i="13" a="1"/>
  <c r="F50" i="13" s="1"/>
  <c r="F51" i="13" a="1"/>
  <c r="F51" i="13" s="1"/>
  <c r="F52" i="13" a="1"/>
  <c r="F52" i="13" s="1"/>
  <c r="F53" i="13" a="1"/>
  <c r="F53" i="13" s="1"/>
  <c r="F54" i="13" a="1"/>
  <c r="F54" i="13" s="1"/>
  <c r="F55" i="13" a="1"/>
  <c r="F55" i="13" s="1"/>
  <c r="F56" i="13" a="1"/>
  <c r="F56" i="13" s="1"/>
  <c r="F57" i="13" a="1"/>
  <c r="F57" i="13" s="1"/>
  <c r="F58" i="13" a="1"/>
  <c r="F58" i="13" s="1"/>
  <c r="F59" i="13" a="1"/>
  <c r="F59" i="13" s="1"/>
  <c r="F60" i="13" a="1"/>
  <c r="F60" i="13" s="1"/>
  <c r="F61" i="13" a="1"/>
  <c r="F61" i="13" s="1"/>
  <c r="F62" i="13" a="1"/>
  <c r="F62" i="13" s="1"/>
  <c r="F63" i="13" a="1"/>
  <c r="F63" i="13" s="1"/>
  <c r="F64" i="13" a="1"/>
  <c r="F64" i="13" s="1"/>
  <c r="F65" i="13" a="1"/>
  <c r="F65" i="13" s="1"/>
  <c r="F66" i="13" a="1"/>
  <c r="F66" i="13" s="1"/>
  <c r="F67" i="13" a="1"/>
  <c r="F67" i="13" s="1"/>
  <c r="F68" i="13" a="1"/>
  <c r="F68" i="13" s="1"/>
  <c r="F69" i="13" a="1"/>
  <c r="F69" i="13" s="1"/>
  <c r="F70" i="13" a="1"/>
  <c r="F70" i="13" s="1"/>
  <c r="F71" i="13" a="1"/>
  <c r="F71" i="13" s="1"/>
  <c r="F72" i="13" a="1"/>
  <c r="F72" i="13" s="1"/>
  <c r="F73" i="13" a="1"/>
  <c r="F73" i="13" s="1"/>
  <c r="F74" i="13" a="1"/>
  <c r="F74" i="13" s="1"/>
  <c r="F75" i="13" a="1"/>
  <c r="F75" i="13" s="1"/>
  <c r="F76" i="13" a="1"/>
  <c r="F76" i="13" s="1"/>
  <c r="F77" i="13" a="1"/>
  <c r="F77" i="13" s="1"/>
  <c r="F78" i="13" a="1"/>
  <c r="F78" i="13" s="1"/>
  <c r="F79" i="13" a="1"/>
  <c r="F79" i="13" s="1"/>
  <c r="F80" i="13" a="1"/>
  <c r="F80" i="13" s="1"/>
  <c r="F81" i="13" a="1"/>
  <c r="F81" i="13" s="1"/>
  <c r="F82" i="13" a="1"/>
  <c r="F82" i="13" s="1"/>
  <c r="F83" i="13" a="1"/>
  <c r="F83" i="13" s="1"/>
  <c r="F84" i="13" a="1"/>
  <c r="F84" i="13" s="1"/>
  <c r="F85" i="13" a="1"/>
  <c r="F85" i="13" s="1"/>
  <c r="F86" i="13" a="1"/>
  <c r="F86" i="13" s="1"/>
  <c r="F2" i="13" a="1"/>
  <c r="F2"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tc={983A1FE4-7C7A-422D-ADED-EE22804E781E}</author>
    <author>tc={D7BADA5C-B9F2-414E-8A3C-48F5302681A7}</author>
  </authors>
  <commentList>
    <comment ref="R1" authorId="0" shapeId="0" xr:uid="{983A1FE4-7C7A-422D-ADED-EE22804E781E}">
      <text>
        <t>[Threaded comment]
Your version of Excel allows you to read this threaded comment; however, any edits to it will get removed if the file is opened in a newer version of Excel. Learn more: https://go.microsoft.com/fwlink/?linkid=870924
Comment:
    Fase 1 -&gt; Revisão dos requisitos
Fase 2 -&gt; Consolidar - Correlações N pra N
Fase 3 -&gt; IA e Automação
Como coletar evidência? - Entra em qual fase?</t>
      </text>
    </comment>
    <comment ref="S1" authorId="1" shapeId="0" xr:uid="{D7BADA5C-B9F2-414E-8A3C-48F5302681A7}">
      <text>
        <t>[Threaded comment]
Your version of Excel allows you to read this threaded comment; however, any edits to it will get removed if the file is opened in a newer version of Excel. Learn more: https://go.microsoft.com/fwlink/?linkid=870924
Comment:
    Acessos de Parceiros/ desenvolvedor - Regis
 Arquitetura de APIs - Rafa 
 CS - estruturantes - Regis
 CS - IaaS - Cadu
 CS - Paas - Cadu
 CS - SaaS - Rafa 
 Contrato - Cadu
 Desenvolvimento Seguro - Regis
 Gestão de acessos - Gabs
 Gestão de senhas - Cadu
 I.A - Regis
 Infraestrutura - Rafa 
 Power BI - Cadu 
 Prevenção a Fraude - Rafa 
 Proteção da aplicação - Rafa 
 Rastreabilidade - Rafa 
 RCS/ E-mail/ SMS - Regis
 RPAs - Regis
 Transferência de arquivos - Cadu</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tc={EE8B6D5C-A665-48D8-8B4D-01499569DF61}</author>
    <author>tc={3490D11F-3803-4EF1-897C-D82A90B78A4E}</author>
    <author>tc={F5227BA5-6E69-409F-B435-A5B9C58C6902}</author>
    <author>tc={D8052E84-E703-4A31-9A6F-8E651D37F833}</author>
    <author>tc={30148529-0FF0-402C-ABF7-BA97B07E2967}</author>
    <author>tc={37786E86-55F1-4976-928D-0B4C42262626}</author>
    <author>tc={334B201C-E173-43F8-B33D-EA57462823DD}</author>
    <author>tc={698C9B45-629B-4EC6-BACC-713328B600A6}</author>
    <author>tc={F02C85E6-9C19-422B-B57F-96FDEA0118D9}</author>
  </authors>
  <commentList>
    <comment ref="X1" authorId="0" shapeId="0" xr:uid="{EE8B6D5C-A665-48D8-8B4D-01499569DF61}">
      <text>
        <t>[Threaded comment]
Your version of Excel allows you to read this threaded comment; however, any edits to it will get removed if the file is opened in a newer version of Excel. Learn more: https://go.microsoft.com/fwlink/?linkid=870924
Comment:
    Retirar para que não "sirva de muleta"</t>
      </text>
    </comment>
    <comment ref="Y1" authorId="1" shapeId="0" xr:uid="{3490D11F-3803-4EF1-897C-D82A90B78A4E}">
      <text>
        <t>[Threaded comment]
Your version of Excel allows you to read this threaded comment; however, any edits to it will get removed if the file is opened in a newer version of Excel. Learn more: https://go.microsoft.com/fwlink/?linkid=870924
Comment:
    Ferramentas homologadas. Se precisarem usar outra ferramenta é necessario participar do fluxo de homologaçao -&gt; definir fluxo (jira)</t>
      </text>
    </comment>
    <comment ref="AD1" authorId="2" shapeId="0" xr:uid="{F5227BA5-6E69-409F-B435-A5B9C58C6902}">
      <text>
        <t>[Threaded comment]
Your version of Excel allows you to read this threaded comment; however, any edits to it will get removed if the file is opened in a newer version of Excel. Learn more: https://go.microsoft.com/fwlink/?linkid=870924
Comment:
    Fase 1 -&gt; Revisão dos requisitos
Fase 2 -&gt; Consolidar - Correlações N pra N
Fase 3 -&gt; IA e Automação
Como coletar evidência? - Entra em qual fase?</t>
      </text>
    </comment>
    <comment ref="AE1" authorId="3" shapeId="0" xr:uid="{D8052E84-E703-4A31-9A6F-8E651D37F833}">
      <text>
        <t>[Threaded comment]
Your version of Excel allows you to read this threaded comment; however, any edits to it will get removed if the file is opened in a newer version of Excel. Learn more: https://go.microsoft.com/fwlink/?linkid=870924
Comment:
    Acessos de Parceiros/ desenvolvedor - Regis
 Arquitetura de APIs - Rafa 
 CS - estruturantes - Regis
 CS - IaaS - Cadu
 CS - Paas - Cadu
 CS - SaaS - Rafa 
 Contrato - Cadu
 Desenvolvimento Seguro - Regis
 Gestão de acessos - Gabs
 Gestão de senhas - Cadu
 I.A - Regis
 Infraestrutura - Rafa 
 Power BI - Cadu 
 Prevenção a Fraude - Rafa 
 Proteção da aplicação - Rafa 
 Rastreabilidade - Rafa 
 RCS/ E-mail/ SMS - Regis
 RPAs - Regis
 Transferência de arquivos - Cadu</t>
      </text>
    </comment>
    <comment ref="C29" authorId="4" shapeId="0" xr:uid="{30148529-0FF0-402C-ABF7-BA97B07E2967}">
      <text>
        <t>[Threaded comment]
Your version of Excel allows you to read this threaded comment; however, any edits to it will get removed if the file is opened in a newer version of Excel. Learn more: https://go.microsoft.com/fwlink/?linkid=870924
Comment:
    @Gabriel De Freitas Ferreira 
Estou criando os detalhes do requisitos, para posterior validação.</t>
      </text>
    </comment>
    <comment ref="AA37" authorId="5" shapeId="0" xr:uid="{37786E86-55F1-4976-928D-0B4C42262626}">
      <text>
        <t xml:space="preserve">[Threaded comment]
Your version of Excel allows you to read this threaded comment; however, any edits to it will get removed if the file is opened in a newer version of Excel. Learn more: https://go.microsoft.com/fwlink/?linkid=870924
Comment:
    @Reginaldo De Araujo Barreto  precisamos colocar o link do processo
Reply:
    Feito.
Shared Link </t>
      </text>
    </comment>
    <comment ref="B43" authorId="6" shapeId="0" xr:uid="{334B201C-E173-43F8-B33D-EA57462823DD}">
      <text>
        <t>[Threaded comment]
Your version of Excel allows you to read this threaded comment; however, any edits to it will get removed if the file is opened in a newer version of Excel. Learn more: https://go.microsoft.com/fwlink/?linkid=870924
Comment:
    Faz sentido manter?</t>
      </text>
    </comment>
    <comment ref="B147" authorId="7" shapeId="0" xr:uid="{698C9B45-629B-4EC6-BACC-713328B600A6}">
      <text>
        <t>[Threaded comment]
Your version of Excel allows you to read this threaded comment; however, any edits to it will get removed if the file is opened in a newer version of Excel. Learn more: https://go.microsoft.com/fwlink/?linkid=870924
Comment:
    @Gabriel De Freitas Ferreira  Esse item para mim deveria ter seu texto modificado para  "O APIGW deverá aceitar somente requisições externas das soluções WAF homologadas pela Companhia"</t>
      </text>
    </comment>
    <comment ref="B167" authorId="8" shapeId="0" xr:uid="{F02C85E6-9C19-422B-B57F-96FDEA0118D9}">
      <text>
        <t>[Threaded comment]
Your version of Excel allows you to read this threaded comment; however, any edits to it will get removed if the file is opened in a newer version of Excel. Learn more: https://go.microsoft.com/fwlink/?linkid=870924
Comment:
    Faz sentido criar um componente para containers?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tc={433D2F7E-C0AC-40C0-B977-0A96141A336D}</author>
  </authors>
  <commentList>
    <comment ref="A3" authorId="0" shapeId="0" xr:uid="{433D2F7E-C0AC-40C0-B977-0A96141A336D}">
      <text>
        <t>[Threaded comment]
Your version of Excel allows you to read this threaded comment; however, any edits to it will get removed if the file is opened in a newer version of Excel. Learn more: https://go.microsoft.com/fwlink/?linkid=870924
Comment:
    @Reginaldo De Araujo Barreto  Sabe me dizer o motivo desse controle?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tc={2EC3966B-7854-4A8E-90C3-586E7E554D77}</author>
  </authors>
  <commentList>
    <comment ref="B219" authorId="0" shapeId="0" xr:uid="{2EC3966B-7854-4A8E-90C3-586E7E554D77}">
      <text>
        <t>[Threaded comment]
Your version of Excel allows you to read this threaded comment; however, any edits to it will get removed if the file is opened in a newer version of Excel. Learn more: https://go.microsoft.com/fwlink/?linkid=870924
Comment:
    Lembrete: O link não está disponível.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<sst xmlns="http://schemas.openxmlformats.org/spreadsheetml/2006/main" count="15407" uniqueCount="2871">
  <si>
    <t>Controle/Correlação</t>
  </si>
  <si>
    <t>Componente</t>
  </si>
  <si>
    <t>Riscos</t>
  </si>
  <si>
    <t>STRIDE LM</t>
  </si>
  <si>
    <t>OWASP-TOP10</t>
  </si>
  <si>
    <t>On-Prem</t>
  </si>
  <si>
    <t>IaaS</t>
  </si>
  <si>
    <t>PaaS</t>
  </si>
  <si>
    <t>SaaS</t>
  </si>
  <si>
    <t>Tecnologia/Processo</t>
  </si>
  <si>
    <t>Obrigatorio publicar serviços na arquitetura “Hub-Spoken”, estabelecidas durante cada Landingzone, com todas as proteções</t>
  </si>
  <si>
    <t>Cloud Security - Estruturante</t>
  </si>
  <si>
    <t>Vazamento de dados</t>
  </si>
  <si>
    <t>STRIDE</t>
  </si>
  <si>
    <t>A04:2021-Insecure Design</t>
  </si>
  <si>
    <t>Não</t>
  </si>
  <si>
    <t>Sim</t>
  </si>
  <si>
    <t xml:space="preserve">IPS, WAF, Firewall, TLS, API Gateway etc. </t>
  </si>
  <si>
    <t xml:space="preserve">A arquitetura deve seguir o modelo de segregação por funcionalidades. (Apresentação, Lógica de negócio, Persistência/Dados) </t>
  </si>
  <si>
    <t>Indisponibilidade</t>
  </si>
  <si>
    <t>Lateral Movement</t>
  </si>
  <si>
    <t>O control plane deve seguir modelos de segurança adaptativo</t>
  </si>
  <si>
    <t>Elevation of Privilege</t>
  </si>
  <si>
    <t>A01:2021-Broken Access Control</t>
  </si>
  <si>
    <t>Especificar política a nível de organização para NÃO PERMITIR que portas de serviços sejam expostas para internet. Ex: 22, 1433, 1521, 3306, 3389, 5432, 6379, 6380, 8000, 8080, 27017 e 21</t>
  </si>
  <si>
    <t>Tampering</t>
  </si>
  <si>
    <t>A05:2021-Security Misconfiguration</t>
  </si>
  <si>
    <t>Especificar política a nível de organização para NÃO PERMITIR exposição na internet de interfaces administrativas de recursos.</t>
  </si>
  <si>
    <t>Especificar política a nível de organização para NÃO PERMITIR provisionamento de endereços sem filtragem de origem; destino e serviço/porta</t>
  </si>
  <si>
    <t>A02:2021-Cryptographic Failures</t>
  </si>
  <si>
    <t>Todos os recursos provisionados deveram estar com sua trilha de logs cyber habilitados</t>
  </si>
  <si>
    <t>Regulatório/Compliance</t>
  </si>
  <si>
    <t>Repudiation</t>
  </si>
  <si>
    <t>A09:2021-Security Logging and Monitoring Failures</t>
  </si>
  <si>
    <t>Recursos provisionados não podem ter interface exposta para a internet, o consumo deverá passar por camadas de proteção.</t>
  </si>
  <si>
    <t>Information Disclosure</t>
  </si>
  <si>
    <t>Em novas construções de Landing Zone considerar a implementação dos Guardrails (políticas de segurança da Companhia) a nível do novo Tenant</t>
  </si>
  <si>
    <t>Integrar o tenant a ferramenta corporativa de CNAPP (mandatório as funções de CSPM e CWPP)</t>
  </si>
  <si>
    <t>Respeitar o processo de exceções estabelecido por governança</t>
  </si>
  <si>
    <t>Risco Iminente</t>
  </si>
  <si>
    <t>Risco Secundário</t>
  </si>
  <si>
    <t>Ameaça - Stride-LM</t>
  </si>
  <si>
    <t>OWASP-10</t>
  </si>
  <si>
    <t>Ameaça</t>
  </si>
  <si>
    <t>Controle</t>
  </si>
  <si>
    <t>Responsabilidade</t>
  </si>
  <si>
    <t>Aplicabilidade (On-Prem)</t>
  </si>
  <si>
    <t>Aplicabilidade (IAAS)</t>
  </si>
  <si>
    <t>Aplicabilidade (PAAS)</t>
  </si>
  <si>
    <t>Aplicabilidade (SAAS)</t>
  </si>
  <si>
    <t>Aplicabilidade (Mobile)</t>
  </si>
  <si>
    <t xml:space="preserve">Tecnologia/Processo recomendada </t>
  </si>
  <si>
    <t>Como fazer</t>
  </si>
  <si>
    <t>Danos a imagem</t>
  </si>
  <si>
    <t>Tampering, Repudiation</t>
  </si>
  <si>
    <t>Servidores</t>
  </si>
  <si>
    <t>A01:2021-Controle de acesso quebrado, A09:2021-Falhas de registro e monitoramento de segurança</t>
  </si>
  <si>
    <t>Roubo de credenciais</t>
  </si>
  <si>
    <t>Implementar autenticação multifatorial (MFA) para todas as contas</t>
  </si>
  <si>
    <t>Time de SO</t>
  </si>
  <si>
    <t>N/A</t>
  </si>
  <si>
    <t>Autheticator</t>
  </si>
  <si>
    <t>Reutilização de credenciais</t>
  </si>
  <si>
    <t>O servidor deverá estar integrado a uma solução de PAM</t>
  </si>
  <si>
    <t>Perda Financeira</t>
  </si>
  <si>
    <t>Ataques de malware</t>
  </si>
  <si>
    <t>Todos os servidores devem possuir imagem de SO e BD padrão da Vivo (com EDR, Antivírus, agente do SIEM e agente de Scan de Infra)</t>
  </si>
  <si>
    <t>Information disclosure</t>
  </si>
  <si>
    <t>A04:2021 – Design Inseguro</t>
  </si>
  <si>
    <t>Movimentação lateral</t>
  </si>
  <si>
    <t>SIEM</t>
  </si>
  <si>
    <t>Acesso não autorizado</t>
  </si>
  <si>
    <t>Implementar políticas que garantam a retenção adequada de logs para auditoria e investigação.</t>
  </si>
  <si>
    <t>Man-In-the-Middle</t>
  </si>
  <si>
    <t>Implementar criptografia para dados em repouso e em trânsito, protegendo informações sensíveis de acesso não autorizado.</t>
  </si>
  <si>
    <t>Bitlocker (Windows), dm-crypt (Linux), TLS</t>
  </si>
  <si>
    <t>Alteração dos dados</t>
  </si>
  <si>
    <t>Exfiltração de dados</t>
  </si>
  <si>
    <t>Utilizar soluções de prevenção de perda de dados para monitorar e proteger dados sensíveis.</t>
  </si>
  <si>
    <t>Time de Proteção de dados</t>
  </si>
  <si>
    <t>DLP, XDR</t>
  </si>
  <si>
    <t>A01:2021-Controle de acesso quebrado</t>
  </si>
  <si>
    <t>Elevação de privilegio</t>
  </si>
  <si>
    <t>Implementar RBAC para gerenciar acesso a nivel infra</t>
  </si>
  <si>
    <t>Time de Gestão de acessos</t>
  </si>
  <si>
    <t>IDP</t>
  </si>
  <si>
    <t xml:space="preserve">Lateral Movement </t>
  </si>
  <si>
    <t>A04:2021-Design inseguro</t>
  </si>
  <si>
    <t>Implementar segmentação de rede para limitar o movimento lateral </t>
  </si>
  <si>
    <t>Microsegmentação</t>
  </si>
  <si>
    <t>É necessário garantir que os projetos estejam com os SO adequados (não é permitido a subida de SO obsoleto)</t>
  </si>
  <si>
    <t>Hardenização</t>
  </si>
  <si>
    <t xml:space="preserve">O ativo precisa estar integrado ao CMDB, garantindo a centralização dos ativos no inventário oficial </t>
  </si>
  <si>
    <t>Time de TI</t>
  </si>
  <si>
    <t>CMDB</t>
  </si>
  <si>
    <t>Dano a imagem</t>
  </si>
  <si>
    <t>Aplicação</t>
  </si>
  <si>
    <t>Implementar a pinagem do Certificado Digital em soluções mobile</t>
  </si>
  <si>
    <t>Owner da aplicação</t>
  </si>
  <si>
    <t>A02:2021 – Falhas Criptográficas</t>
  </si>
  <si>
    <t xml:space="preserve">Ativação da criptografia de payload e handshake entre front-end e camada de exposição de APIs </t>
  </si>
  <si>
    <t>Perca financeira</t>
  </si>
  <si>
    <t>Spoofing</t>
  </si>
  <si>
    <t>A09:2021 – Falhas de Segurança na Aplicação</t>
  </si>
  <si>
    <t>Roubo de sessão</t>
  </si>
  <si>
    <t>A aplicação deve implementar controle de sessão (timeout, sessão simultânea, etc)</t>
  </si>
  <si>
    <t xml:space="preserve">A aplicação deve implementar validação de sessão (Front e Back via Mutual TLS) </t>
  </si>
  <si>
    <t xml:space="preserve">Implementar mecanismos para controle de Abuso de recursos/limite de requisições </t>
  </si>
  <si>
    <t>Implementar mecanismos para bloqueio de ataques de “Brute Force” (exemplo: CAPTCH)</t>
  </si>
  <si>
    <t>A aplicação deve efetuar a ofuscação de dados sensíveis, tanto no frontend quanto no backend</t>
  </si>
  <si>
    <t>Prevenir mensagens de erro que permitam enumeração de usuários (Alterar as mensagens de retornos)</t>
  </si>
  <si>
    <t xml:space="preserve"> Garantir que cada token OTP (One Time Password), se aplicável, só possa ser usado uma única vez</t>
  </si>
  <si>
    <t xml:space="preserve"> Todas as aplicações WEB devem ser protegidas contra-ataques de CSRF (Cross 
Site Request Forgery) e CORS (Cross Origin Resource Sharing)</t>
  </si>
  <si>
    <t>Os Bancos de Dados utilizados pela aplicação devem possuir uma rotina de backup documentada, aplicada e testada periodicamente</t>
  </si>
  <si>
    <t>É necessário criptografar todas as comunicações entre o cliente e a API utilizando o protocolo TLS (HTTPs) 1.2 ou superior.</t>
  </si>
  <si>
    <t>Utilize assinaturas digitais para garantir a autenticidade e a origem das mensagens, permitindo que a fonte seja verificada de forma irrefutável.</t>
  </si>
  <si>
    <t>Caso o sistema/aplicação possa ser acessado à partir da Internet, ele precisa estar segregado por uma DMZ</t>
  </si>
  <si>
    <t>Ataque de Força Bruta</t>
  </si>
  <si>
    <t>Implementar autenticação multifatorial (MFA)</t>
  </si>
  <si>
    <t>Implementar RBAC para gerenciar acesso</t>
  </si>
  <si>
    <t>Banco de Dados</t>
  </si>
  <si>
    <t>Injeção SQL</t>
  </si>
  <si>
    <t>O Banco de Dados deve utilizar validações de entrada para evitar ataques de injeção, como SQL injection, que podem comprometer a integridade dos dados.</t>
  </si>
  <si>
    <t>Ataque Man-in-the-Middle (MITM)</t>
  </si>
  <si>
    <t>Exploração de Zero-Day</t>
  </si>
  <si>
    <t>Uso de Credenciais Roubadas</t>
  </si>
  <si>
    <t>Privilégios Excessivos</t>
  </si>
  <si>
    <t>Erros de Configuração</t>
  </si>
  <si>
    <t>Dados Expostos Publicamente</t>
  </si>
  <si>
    <t>Negação de Serviço (DoS/DDoS)</t>
  </si>
  <si>
    <t>Locking e Deadlocks</t>
  </si>
  <si>
    <t>Falta de Criptografia</t>
  </si>
  <si>
    <t>Falta de Backup e Recuperação</t>
  </si>
  <si>
    <t>Falha em Aplicação de Patches</t>
  </si>
  <si>
    <t>Funcionários Mal-Intencionados</t>
  </si>
  <si>
    <t>Erros Humanos</t>
  </si>
  <si>
    <t>Exposição de dados sensiveis</t>
  </si>
  <si>
    <t>Transferencia de dados para paises sem acordos regulatorios compativeis</t>
  </si>
  <si>
    <t>Uso indevido de dados pessoais por colaboradores</t>
  </si>
  <si>
    <t>Armazenmento de dados sensiveis em dispositivos não aotorizados</t>
  </si>
  <si>
    <t>Coleta de dados sem consentimento explicito</t>
  </si>
  <si>
    <t>Retenção de dados além do prazo permitido por regulamentações</t>
  </si>
  <si>
    <t>Vazamento de informações confidenciaisem redes sociais</t>
  </si>
  <si>
    <t>Elevação de Privilegio</t>
  </si>
  <si>
    <t>Dados não criptografados em repouso</t>
  </si>
  <si>
    <t>Dados não criptografados em transito</t>
  </si>
  <si>
    <t>Backup de dados sem controles de acesso adequados</t>
  </si>
  <si>
    <t>Falha em excluir ou anonimizar dados conforme solicitado por individuos</t>
  </si>
  <si>
    <t>Ataque DDOS</t>
  </si>
  <si>
    <t>Vazamento de Dados</t>
  </si>
  <si>
    <t>Vazamento de dados confidenciais</t>
  </si>
  <si>
    <t>Ataques de defacement</t>
  </si>
  <si>
    <t>Phising direcionado</t>
  </si>
  <si>
    <t>Ransomware</t>
  </si>
  <si>
    <t>Configurações erradas e acessos expostos</t>
  </si>
  <si>
    <t>Controle de Ameaças</t>
  </si>
  <si>
    <t>Workstation</t>
  </si>
  <si>
    <t>A9 - Quebra de criptografia</t>
  </si>
  <si>
    <t>Criptografia de Disco</t>
  </si>
  <si>
    <t>TI/Workplace</t>
  </si>
  <si>
    <t>sim</t>
  </si>
  <si>
    <t>Bitlocker</t>
  </si>
  <si>
    <t>Falta normativa/modelo para esse controle</t>
  </si>
  <si>
    <t>Sistemas Operacionais e Softwares Atualizados (Patches atualizados)</t>
  </si>
  <si>
    <t>Owner/Proteção de Dados</t>
  </si>
  <si>
    <t>não</t>
  </si>
  <si>
    <t>Politicas de privilegio minimo</t>
  </si>
  <si>
    <t>Detecção e Respostas a Ponto de Extremidades (EDR)</t>
  </si>
  <si>
    <t>Proteção de perda de dados (DLP)</t>
  </si>
  <si>
    <t>Backup imutavel</t>
  </si>
  <si>
    <t>Segmentação de redes</t>
  </si>
  <si>
    <t>Restringir acesso administrativo</t>
  </si>
  <si>
    <t>Autenticação forte</t>
  </si>
  <si>
    <t>Credenciais comprometidas</t>
  </si>
  <si>
    <t>Segmentação de perfis de acesso</t>
  </si>
  <si>
    <t>Servidores Fisicos</t>
  </si>
  <si>
    <t>Política e procedimentos de controle de acesso, revisão de acesso</t>
  </si>
  <si>
    <t>Exposição de dados em nuvem</t>
  </si>
  <si>
    <t>Maquinas Virtuais</t>
  </si>
  <si>
    <t>Acessos não autorizados</t>
  </si>
  <si>
    <t>Containers</t>
  </si>
  <si>
    <t>Serviços Serveless</t>
  </si>
  <si>
    <t>Misconfiguration</t>
  </si>
  <si>
    <t>Bancos Relacionais</t>
  </si>
  <si>
    <t>Espionagem Industrial</t>
  </si>
  <si>
    <t>Storage em bloco ou objeto</t>
  </si>
  <si>
    <t>Insider Threats</t>
  </si>
  <si>
    <t>Balanceadores de carga</t>
  </si>
  <si>
    <t>Man-in-the-Middle</t>
  </si>
  <si>
    <t>Firewalls</t>
  </si>
  <si>
    <t>Exploração de Vulnerabilidades em aplicações Web</t>
  </si>
  <si>
    <t>DNS</t>
  </si>
  <si>
    <t>Adulteração de dados</t>
  </si>
  <si>
    <t>Redes privadas virtuais</t>
  </si>
  <si>
    <t>Exposição acidental</t>
  </si>
  <si>
    <t>Gateways de API</t>
  </si>
  <si>
    <t>Ataques a Sistemas Legados</t>
  </si>
  <si>
    <t>Filas de Mensagem</t>
  </si>
  <si>
    <t>Streams de dados</t>
  </si>
  <si>
    <t>A03:2021 – Injeção</t>
  </si>
  <si>
    <t>Spoofing,  Elevation of Privilege</t>
  </si>
  <si>
    <t>A07:2021 – Falhas de Identificação e Autenticação</t>
  </si>
  <si>
    <t>A06:2021 – Componentes Vulneráveis e Desatualizados</t>
  </si>
  <si>
    <t xml:space="preserve"> Tampering, Information disclosure</t>
  </si>
  <si>
    <t>A05:2021 – Configuração Insegura</t>
  </si>
  <si>
    <t xml:space="preserve"> Elevation of Privilege</t>
  </si>
  <si>
    <t>A01:2021 – Controle de Acesso Quebrado</t>
  </si>
  <si>
    <t>A08:2021 – Falhas de Integridade e Monitoramento</t>
  </si>
  <si>
    <t>Information disclosure, Tampering</t>
  </si>
  <si>
    <t>Risco</t>
  </si>
  <si>
    <t xml:space="preserve"> </t>
  </si>
  <si>
    <t>Phishing</t>
  </si>
  <si>
    <t>Autenticação Multiplo Fator de Autenticação</t>
  </si>
  <si>
    <t>OAM/Authenticator de mercado</t>
  </si>
  <si>
    <t>LINK DA NORMATIVA/SHAREPOINT</t>
  </si>
  <si>
    <t>Sistema Operacional</t>
  </si>
  <si>
    <t>Servidores de arquivos</t>
  </si>
  <si>
    <t>Endpoint de acesso usuário</t>
  </si>
  <si>
    <t>Banco de dados</t>
  </si>
  <si>
    <t>Backups</t>
  </si>
  <si>
    <t>Servidores de serviço</t>
  </si>
  <si>
    <t>API</t>
  </si>
  <si>
    <t>autenticação forte</t>
  </si>
  <si>
    <t>Detalhamento do requisito</t>
  </si>
  <si>
    <t>Propriedade</t>
  </si>
  <si>
    <t>Riscos/Impacto</t>
  </si>
  <si>
    <t>Estrutura - Sistema de Informação</t>
  </si>
  <si>
    <t>Categoria de Segurança</t>
  </si>
  <si>
    <t xml:space="preserve">A aplicação deve ativar a criptografia de payload e handshake entre front-end e camada de exposição de APIs </t>
  </si>
  <si>
    <t>A criptografia assegura que dados sensíveis trocados entre o cliente e o servidor sejam protegidos contra interceptação. O risco de não aplicar isso é a exposição e/ou modificação de dados pessoais e confidenciais a ataques como Man-in-the-Middle (MITM).</t>
  </si>
  <si>
    <t>Aplicação - Web/Mobile</t>
  </si>
  <si>
    <t>Processamento</t>
  </si>
  <si>
    <t>Application Security</t>
  </si>
  <si>
    <t>Criptografia de payload / Deve ser implmentado durante o desenvolvimento</t>
  </si>
  <si>
    <t>Em construção</t>
  </si>
  <si>
    <t>Mensagens de erro genéricas evitam que invasores possam identificar a existência de um usuário específico. Caso contrário, o risco de ataques de força bruta ou enumeração de usuários aumenta.</t>
  </si>
  <si>
    <t>Code Review (DAST)</t>
  </si>
  <si>
    <t>A aplicação precisa estar protegida com um Web Application Firewall (WAF)  - Definições de politicas Telefonica</t>
  </si>
  <si>
    <t>O WAF monitora o tráfego HTTP e impede ataques como SQL Injection, XSS e outros direcionados à camada de aplicação. Não implementar pode deixar a aplicação vulnerável a ataques conhecidos e comprometimentos de segurança.</t>
  </si>
  <si>
    <t>Denial of Service</t>
  </si>
  <si>
    <t>Implementar rate limiting, requisições com challenge (CAPTCHA), balanceamento de carga e detecção de tráfego anômalo via SIEM.</t>
  </si>
  <si>
    <t>Configurar rate limiting no API Gateway;
Integrar SIEM para alertar sobre picos anormais.</t>
  </si>
  <si>
    <t>Para implantações em pipelines de CI/CD, é essencial que vulnerabilidades classificadas como altas e críticas sejam corrigidas antes de serem levadas para o ambiente de produção.</t>
  </si>
  <si>
    <t>Corrigir vulnerabilidades críticas antes da produção reduz a chance de exploração por atacantes. Ignorar vulnerabilidades críticas pode resultar em falhas de segurança graves após o lançamento.</t>
  </si>
  <si>
    <t>A06:2021-Vulnerable and Outdated Components</t>
  </si>
  <si>
    <t>Utilização de vaults de segredo (AWS Secrets Manager, HashiCorp Vault), revisão de código com ferramentas DAST e proibição de segredos em repositórios Git.</t>
  </si>
  <si>
    <t>Configurar CI/CD para bloquear commits com segredos expostos.</t>
  </si>
  <si>
    <t>A DMZ oferece uma camada extra de segurança, isolando sistemas críticos de acessos diretos da internet. A ausência de uma DMZ pode resultar em acesso não autorizado a sistemas internos.</t>
  </si>
  <si>
    <t>Arquitetura Segura</t>
  </si>
  <si>
    <t>Em tempo de analise do projeto</t>
  </si>
  <si>
    <t>A aplicação deve implementar a pinagem do certificado digital em soluções mobile (Evitar MITM)</t>
  </si>
  <si>
    <t>A pinagem de certificado impede ataques MITM, garantindo que o certificado do servidor seja sempre validado. Caso contrário, um atacante poderia interceptar a comunicação.</t>
  </si>
  <si>
    <t>Desenvolvimento Seguro</t>
  </si>
  <si>
    <t>A aplicação deve implementar Controle de Sessão (timeout, sessão simultânea, etc)</t>
  </si>
  <si>
    <t>Controlar sessões previne que sessões inativas ou múltiplas simultâneas comprometam a segurança do sistema. A falta de controle pode levar a invasões de contas por sessões esquecidas ou mal gerenciadas.</t>
  </si>
  <si>
    <t xml:space="preserve">A aplicação de implementar validação de Sessão (Front e Back via Mutual TLS) </t>
  </si>
  <si>
    <t>A validação de sessão com Mutual TLS garante que tanto o cliente quanto o servidor sejam autenticados mutuamente, prevenindo acesso não autorizado. Sem isso, a aplicação fica vulnerável a sequestro de sessão.</t>
  </si>
  <si>
    <t>Ofuscar dados sensíveis ajuda a evitar que informações como senhas ou detalhes pessoais sejam facilmente acessadas em caso de comprometimento. A falta de ofuscação pode resultar em vazamentos de dados sensíveis.</t>
  </si>
  <si>
    <t>Prevenir CSRF e configurar CORS adequadamente evita que ataques externos possam executar ações não autorizadas em nome de um usuário legítimo. Ignorar isso pode permitir ataques de escalonamento de privilégio.</t>
  </si>
  <si>
    <t>A03:2021-Injection</t>
  </si>
  <si>
    <t xml:space="preserve">A aplicação deve implementar validação de Sessão (Front e Back via Mutual TLS) </t>
  </si>
  <si>
    <t>Garante que apenas sessões legítimas permaneçam ativas, prevenindo uso indevido por terceiros. Protege contra ataques de sequestro de sessão (Session Hijacking). Deve incluir expiração automática e revalidação periódica. Implementação via tokens seguros, como JWT com assinatura. Essencial para manter integridade e segurança no acesso.</t>
  </si>
  <si>
    <t>Utilizar criptografia fim a fim com Mutual TLS</t>
  </si>
  <si>
    <t>Implementar certificados TLS entre microsserviços e aplicar segmentação de rede com políticas Zero Trust.</t>
  </si>
  <si>
    <t>Backups regulares são cruciais para a recuperação em caso de falhas ou ataques. A falta de backups bem geridos pode resultar em perda irreparável de dados críticos.</t>
  </si>
  <si>
    <t>Toda e qualquer Fuction deverá estar exposta atrás de um API Gateway, além disso só poderá aceitar requisições externas das soluções de WAF definidas pela Companhia (ex: Akamai e/ou CloudFlare)</t>
  </si>
  <si>
    <t>O API Gateway controla e monitora o acesso a funções críticas da aplicação, limitando o risco de exploração externa. Sem isso, a aplicação fica vulnerável a abusos e ataques.</t>
  </si>
  <si>
    <t>Uso de prepared statements, sanitização de entrada e implementação de políticas CSP (Content Security Policy).</t>
  </si>
  <si>
    <t>Atualizar ORM para usar consultas parametrizadas;
Configurar firewall de aplicações web (WAF) para bloquear payloads maliciosos.</t>
  </si>
  <si>
    <t>Mecanismos como CAPTCHA impedem tentativas automatizadas de adivinhar senhas. Sem essas medidas, a aplicação fica vulnerável a ataques de força bruta.</t>
  </si>
  <si>
    <t>Identidade e Acesso</t>
  </si>
  <si>
    <t>A07:2021-Identification and Authentication Failures</t>
  </si>
  <si>
    <t>A utilização de tokens OTP únicos reduz o risco de replay attacks, onde tokens antigos podem ser reutilizados por atacantes. A falha nesse controle pode resultar em comprometimento de contas.</t>
  </si>
  <si>
    <t xml:space="preserve">Solução obrigatoriamente precisa se integrar com o Identity Provider definido pela Companhia para autenticação e autorização atraves de modelos de segurança seguros como OpenID, Oauth2 e SAML2.0 no fluxo 3-Legged Authentication; </t>
  </si>
  <si>
    <t>A integração com o Identity Provider garante que os processos de autenticação e autorização sejam seguros e centralizados.</t>
  </si>
  <si>
    <t>Implementar OAuth 2.0/OpenID, MFA, bloqueio de login após tentativas falhas e rate limiting.</t>
  </si>
  <si>
    <t>Configurar OpenID Connect no IAM;
Aplicar regras de rate limiting no API Gateway;
Monitorar tentativas de login suspeitas no SIEM.</t>
  </si>
  <si>
    <t>É mandatório que a solução suporte e implemente o modelo de autorização baseado em perfis de acesso conforme o padrão RBAC (Role Based Access Control)</t>
  </si>
  <si>
    <t>RBAC assegura que usuários tenham apenas os privilégios necessários para suas funções. A falta dessa implementação pode resultar em usuários com acesso indevido a recursos sensíveis.</t>
  </si>
  <si>
    <t>Implementar RBAC/ABAC, aplicar o princípio do menor privilégio e realizar auditoria de permissões periodicamente.</t>
  </si>
  <si>
    <t>"Configurar IAM para separar funções administrativas e operacionais;
Implementar auditoria contínua de acessos."</t>
  </si>
  <si>
    <t>As assinaturas digitais garantem que as mensagens ou transações sejam autênticas, vindas de uma fonte verificada, e não modificadas em trânsito. Isso é fundamental para evitar falsificação de dados e garantir a integridade das informações. A não utilização dessas assinaturas pode permitir ataques como spoofing e falsificação de identidade.</t>
  </si>
  <si>
    <t>Serverless &amp; Functions</t>
  </si>
  <si>
    <t>A08:2021-Software and Data Integrity Failures</t>
  </si>
  <si>
    <t xml:space="preserve">Provisionar soluções de antivírus e monitoramento de endpoints (EDR). Toda maquina de sistema operação </t>
  </si>
  <si>
    <t>A implementação de soluções de antivírus e EDR (Endpoint Detection and Response) em todas as máquinas de sistema operacional ajuda a detectar, bloquear e responder a ameaças em tempo real. Sem essas soluções, os endpoints ficam vulneráveis a malware, ransomware e outros tipos de ataques que podem comprometer a integridade do sistema.</t>
  </si>
  <si>
    <t>É necessário manter o software e as dependências atualizados, aplicando correções de segurança regularmente para mitigar as vulnerabilidades conhecidas.</t>
  </si>
  <si>
    <t>Manter o software e suas dependências atualizados reduz a exposição a vulnerabilidades conhecidas. Aplicar patches de segurança de forma constante impede que falhas de segurança sejam exploradas. A não atualização pode resultar em sistemas obsoletos que são facilmente comprometidos por atacantes utilizando exploits já conhecidos.</t>
  </si>
  <si>
    <t>Mecanismos como CAPTCHAs protegem contra ataques de força bruta, nos quais os atacantes tentam diversas combinações de senhas para acessar sistemas. A implementação de CAPTCHAs ou outras formas de bloqueio, como limites de tentativas, é crucial para garantir a segurança contra esse tipo de ataque. A falta dessa proteção pode permitir que atacantes consigam comprometer contas facilmente por meio de tentativa e erro.</t>
  </si>
  <si>
    <t>É necessário incorporar avaliações de segurança, desde a concepção até a manutenção, garantindo à segurança do Hardware.</t>
  </si>
  <si>
    <t>Avaliar a segurança desde o início do desenvolvimento e ao longo da manutenção é essencial para identificar e mitigar vulnerabilidades em sistemas de hardware. Isso inclui revisões de arquitetura, testes de segurança e validações contínuas. A falha em realizar essas avaliações pode levar a falhas de segurança no hardware, tornando-o um ponto vulnerável de ataque, comprometendo a segurança do sistema como um todo.</t>
  </si>
  <si>
    <t>Implementar DLP para monitorameto de dados e evitar vazamento de informação.</t>
  </si>
  <si>
    <t>Implemetar e Definir regras claras e bloquear softwares não autorizados.</t>
  </si>
  <si>
    <t>Implementar a pinagem do Certificado Digital em soluções (Evitar MITM)</t>
  </si>
  <si>
    <t>Desabilitar serviços não essenciais e usar configurações de segurança recomendadas (Ex.: Cis Benchmarks)</t>
  </si>
  <si>
    <t>O Banco de Dados deve utilizar validações de entrada para evitar ataques de injeção, como SQL injection, que podem comprometer a integridade dos dados</t>
  </si>
  <si>
    <t>Realizar Periodicamente Auditorias de configurações e implementar ferramentas de monitoramento de conformidade, com automação na configuração.</t>
  </si>
  <si>
    <t>Implementar controles de acesso assim garantindo que só pessoas autorizadas possam acessar o ambiente e utilizar criptografia em repouso (AES-256) para proteger as informações sensiveis.</t>
  </si>
  <si>
    <t>Implementação de rotinas de atualizações rápidas de patches de segurança e monitoramento continuo de ameaças, impedindo a exploração de vulnerabilidades</t>
  </si>
  <si>
    <t>A aplicação precisa estar protegida com um Web Application Firewall (WAF) na regra "deny high"</t>
  </si>
  <si>
    <t>ModSecurity</t>
  </si>
  <si>
    <t>Utilizar bibliotecas seguras como OWASP ESAPI e implementar um WAF (Web Application Firewall).</t>
  </si>
  <si>
    <t xml:space="preserve">É mandatório que a solução suporte e implemente o modelo de autorização baseado em perfis de acesso conforme o padrão RBAC (Role Based Access Control) </t>
  </si>
  <si>
    <t>Open Policy, Implementação de RBAC/ABAC</t>
  </si>
  <si>
    <t>Definir roles claras, implementar políticas IAM (Identity and Access Management) e armazenar logs imutáveis.</t>
  </si>
  <si>
    <t>Todo e qualquer consumo ao banco de dados deve passar por uma camada de orquestração (API Gateway ou barramento, por exemplo)</t>
  </si>
  <si>
    <t>Oracle Service Bus / Microserviço</t>
  </si>
  <si>
    <t>Configurar rate limiting via API Gateway e utilizar Hystrix para gerenciamento de falhas.</t>
  </si>
  <si>
    <t>A08:2021 - Software and Data Integrity Failures</t>
  </si>
  <si>
    <t>Monitoramento de dependências e aplicação de patching automático.</t>
  </si>
  <si>
    <t>Utilizar ferramentas como OWASP Dependency-Check e SBOM (Software Bill of Materials).</t>
  </si>
  <si>
    <t>O serviço precisa disponibilizar um dash de Healthcheck que mostre itens de compliance de configuração dos itens de MFA, criptografia entre outros controles de segurança</t>
  </si>
  <si>
    <t>Implementação de isolamento de dados por tenant.</t>
  </si>
  <si>
    <t>Configurar bancos de dados multi-tenant, garantindo encriptação per-tenant e aplicação de access control policies.</t>
  </si>
  <si>
    <t>É necessário garantir que os hosts utilizados nos projetos estejam com os SO adequados (não é permitido a subida de SO obsoleto)</t>
  </si>
  <si>
    <t>Hosts</t>
  </si>
  <si>
    <t>Hardenização do SO</t>
  </si>
  <si>
    <t>Garantir que o Host seja provisionado pelo Plataform Code, em caso de provisionamento manual o mesmo deve ser validado que foi usado a imagem homologada.</t>
  </si>
  <si>
    <t>Authenticator</t>
  </si>
  <si>
    <t>Analise de perfil / IDP</t>
  </si>
  <si>
    <t>A00: No Application</t>
  </si>
  <si>
    <t>Caso o servidor esteja sendo provisionado via Plataform Code o mesmo é automatica adicionado a solução PAM homologada da empresa, bastando abrir chamado para solicitação de login de acesso.</t>
  </si>
  <si>
    <t xml:space="preserve"> Abrir chamado para solicitação de login de acesso para o host</t>
  </si>
  <si>
    <t>Todos os servidores devem possuir imagem de SO e BD padrão da Vivo (com EDR, Antivírus, conector de SIEM e agente de Scan de Infra)</t>
  </si>
  <si>
    <t>Recursos criados pelo Plataform Code já utilizam a golden image da Vivo, para Recursos criados de forma manual deverá procura time de SO</t>
  </si>
  <si>
    <t>DLP</t>
  </si>
  <si>
    <t>A aplicação precisa estar protegida com um Web Application Firewall (WAF)</t>
  </si>
  <si>
    <t>Infraestrutura</t>
  </si>
  <si>
    <t>Antes da subida em produção é necessário executar um EHT (Pentest) e corrigir todos os riscos e vulnerabilidades encontradas</t>
  </si>
  <si>
    <t>Ambientes de Desenvolvimento, Homologação e Teste precisam estar segregados do ambiente de produção</t>
  </si>
  <si>
    <t>Apenas ambientes de produção devem conter dados reais. Ambientes de desenvolvimento, testes, homologação e outros devem possuir dados fictícios</t>
  </si>
  <si>
    <t xml:space="preserve">O sistema/aplicação/ ativo precisa estar integrado ao nosso CMDB, garantindo a centralização dos ativos no inventário oficial </t>
  </si>
  <si>
    <t>Aplicação deve ter implementado controles de microssegmentação, garantindo acesso somente entre contextos de serviços e operações da aplicação específica</t>
  </si>
  <si>
    <t>O ambiente precisa possuir plano de contingência ou recursos que garantam a disponibilidade em casos de falhas ou desastres</t>
  </si>
  <si>
    <t>Todos os servidores devem possuir imagem de SO e BD padrão da Companhia (com EDR, Antivírus, agente do SIEM e agente de Scan de Infra)</t>
  </si>
  <si>
    <t>A aplicação precisa utilizar certificados digitais emitidos por autoridades confiáveis (definidas pela Companhia) para validar a identidade das partes envolvidas em uma comunicação, fortalecendo a não repúdio.</t>
  </si>
  <si>
    <t>É necessário garantir que os certificados SSL/TLS estejam atualizados, utilizando algoritmos robustos e renovando certificados antes do vencimento para manter a segurança da comunicação.</t>
  </si>
  <si>
    <t>Caso o projeto utilize contêineres, é necessário garantir que eles sejam configurados de forma segura, seguindo as práticas recomendadas de hardening de Segurança</t>
  </si>
  <si>
    <t>As informações de Data e Hora, obrigatoriamente precisam estar no modelo UTC (Coordinated Universal Time)</t>
  </si>
  <si>
    <t>O uso do formato UTC padroniza os registros de eventos, evitando inconsistências de fusos horários que podem dificultar investigações e auditorias. Sem essa padronização, corre-se o risco de falhas na correlação de eventos e dificuldades na detecção de incidentes.</t>
  </si>
  <si>
    <t>Rastreabilidade</t>
  </si>
  <si>
    <t>Threat Detection &amp; Response</t>
  </si>
  <si>
    <t>Todo e qualquer custo de ingestão/armazenamento de logs é de responsabilidade do owner do projeto.</t>
  </si>
  <si>
    <t>Os custos associados ao armazenamento e processamento de logs precisam ser previstos no orçamento do projeto. Se não forem considerados, pode haver restrições de retenção ou cortes que impactam a visibilidade de segurança.</t>
  </si>
  <si>
    <t>É obrigatório que os logs de aplicações SoX não passem por nenhum tratamento/modificação antes de chegarem ao SIEM</t>
  </si>
  <si>
    <t>Para garantir conformidade com regulamentos como SOX, os logs devem ser armazenados em seu formato original, garantindo integridade e evitando adulterações. Modificações podem comprometer a confiabilidade das trilhas de auditoria.</t>
  </si>
  <si>
    <t>Logs com dados sensíveis gerados por aplicações devem ser mascaramento pela aplicação. Coleta de logs em outros recursos, é necessário que haja o mascaramento de dados sensíveis.</t>
  </si>
  <si>
    <t>O mascaramento impede a exposição de dados confidenciais, protegendo informações de clientes e credenciais de acesso. Sem essa proteção, logs podem se tornar um vetor de vazamento de dados.</t>
  </si>
  <si>
    <t>TLS 1.3</t>
  </si>
  <si>
    <t>A aplicação, seja desenvolvida internamente, seja um serviço (como GTW, por exemplo) ou considerada software de prateleira, deve ser capaz de fazer a ingestão adequada dos logs de Segurança e de SoX.</t>
  </si>
  <si>
    <t>Garantir que todos os sistemas e serviços gerem logs estruturados e consumíveis por ferramentas de monitoramento de segurança. Sem isso, a rastreabilidade e a capacidade de resposta a incidentes podem ser comprometidas.</t>
  </si>
  <si>
    <t>No caso de aplicações e infraestrutura de sistemas caracterizados como SoX, os logs precisam ser armazenados por 1 ano </t>
  </si>
  <si>
    <t>A retenção por 1 ano atende a requisitos regulatórios e possibilita auditorias e investigações forenses quando necessário. A não retenção adequada pode gerar penalizações e dificultar a análise de incidentes antigos.</t>
  </si>
  <si>
    <t>Os logs devem ser integrados com o SIEM via modelo json ou via API Rest (para esse cenário de coleta de logs o payload não deve estar criptografado para garantir que a ferramenta de SIEM consiga consumir os logs)</t>
  </si>
  <si>
    <t>A padronização do formato JSON ou API REST garante que os logs sejam facilmente processados pelo SIEM. O payload não criptografado nesse contexto evita falhas na ingestão e análise automatizada.</t>
  </si>
  <si>
    <t>Os dados precisam ser criptografados durante o trânsito (TLS 1.3)</t>
  </si>
  <si>
    <t>A criptografia TLS 1.3 protege os dados contra interceptação durante a transmissão, prevenindo ataques de man-in-the-middle (MITM). A falta de criptografia pode expor logs sensíveis a ataques.</t>
  </si>
  <si>
    <t>Data Security</t>
  </si>
  <si>
    <t>A solução para o consumo desses logs deve possuir controle de acesso adequado e ser gerenciado pelo time de gestão de identidades da Vivo</t>
  </si>
  <si>
    <t>O controle de acesso evita que usuários não autorizados acessem ou modifiquem logs. Sem essa proteção, logs podem ser manipulados ou acessados por atacantes.</t>
  </si>
  <si>
    <t>Para sistemas SoX é preciso gerar trilhas dos eventos detalhados nesse link: clique aqui.</t>
  </si>
  <si>
    <t>A criação de trilhas detalhadas de eventos atende a requisitos regulatórios e facilita auditorias de conformidade. A ausência dessas trilhas pode levar a falhas na rastreabilidade de ações críticas.</t>
  </si>
  <si>
    <t>Todo e qualquer custo referente a log (ingestão; consumo) na nuvem precisa ser mensurado e considerado na etapa inicial do projeto durante a definição do orçamento. As trilhas de segurança fazem parte dos requisitos e os projetos precisam garantir que estejam habilitadas nos padrões definidos. </t>
  </si>
  <si>
    <t>Prever o custo de armazenamento e processamento de logs evita surpresas financeiras e garante que a retenção de logs esteja conforme os padrões de segurança. A falta de planejamento pode levar a cortes que prejudicam a visibilidade de segurança.</t>
  </si>
  <si>
    <t>Cloud Security</t>
  </si>
  <si>
    <t>Para logs na nuvem trataremos de duas fontes de recursos que precisam ter suas trilhas de logs de cyber habilitadas: as aplicações e os recursos/serviços nativos da nuvem. Essas duas fontes precisam seguir todos os requisitos aqui apresentados.</t>
  </si>
  <si>
    <t>Tanto logs de aplicações quanto de infraestrutura precisam ser monitorados para detectar atividades suspeitas. A ausência de logging nesses ambientes pode deixar brechas para ataques sem rastreamento.</t>
  </si>
  <si>
    <t xml:space="preserve">Garantir as devidas configurações nos recursos e serviços da cloud para que seja possível a geração dos logs (para cada provedor existe um controle específico que na maioria das vezes é baseado na instalação de um agente nesses recursos). Já na aplicação precisa estar garantido no próprio desenvolvimento. </t>
  </si>
  <si>
    <t>A configuração correta garante que logs sejam gerados e capturados corretamente. Sem essa configuração, eventos críticos podem não ser registrados, dificultando a resposta a incidentes e a auditoria.</t>
  </si>
  <si>
    <t>Cloud Adoption Framework</t>
  </si>
  <si>
    <t>Well-Architected Framework</t>
  </si>
  <si>
    <t>Cis Benchmark</t>
  </si>
  <si>
    <t xml:space="preserve">Politicas de Segurança </t>
  </si>
  <si>
    <t>Log Analytics, Cloud Logging, Oracle Management Agent/Cloud Adoption Framework</t>
  </si>
  <si>
    <t>Requisitos de Cloud da Global</t>
  </si>
  <si>
    <t>N/A - Sem correlação</t>
  </si>
  <si>
    <t>Modelo de exceções na Cloud</t>
  </si>
  <si>
    <t>Segurança na comunicação</t>
  </si>
  <si>
    <t>Todas as comunicações entre APIs e clientes devem ser protegidas por TLS 1.3 ou superior. Comunicação entre ambientes distintos deve seguir regras de segurança, incluindo limitação de requisições, blocklist de IPs e inspeção de tráfego.</t>
  </si>
  <si>
    <t>Autenticação e autorização</t>
  </si>
  <si>
    <t>APIs devem implementar autenticação forte e autorização baseada em políticas como RBAC ou ABAC, garantindo revalidação contínua, princípio do privilégio mínimo e proteção contra sequestro de sessão.</t>
  </si>
  <si>
    <t>Controle de sessão</t>
  </si>
  <si>
    <t>APIs que exigem autenticação devem adotar mecanismos seguros, incluindo expiração automática de tokens, proteção contra ataques de repetição (Replay Attacks) e prevenção de falsificação de sessão.</t>
  </si>
  <si>
    <t>Validação de entrada</t>
  </si>
  <si>
    <t>APIs devem validar todas as entradas de usuários e sistemas para evitar ataques de injeção (SQL Injection, XSS, entre outros), garantindo integridade e segurança dos dados.</t>
  </si>
  <si>
    <t>Governança e monitoramento</t>
  </si>
  <si>
    <t>APIs devem contar com mecanismos de governança para rastreabilidade de integrações, autenticação, áreas responsáveis e políticas de segurança aplicadas.</t>
  </si>
  <si>
    <t>Tratamento de erros</t>
  </si>
  <si>
    <t>APIs devem implementar manuseio adequado de erros para evitar exposição de informações sensíveis em mensagens de resposta.</t>
  </si>
  <si>
    <t>Implementar a pinagem do Certificado Digital em soluções mobile (Evitar MITM)</t>
  </si>
  <si>
    <t>6 para todos</t>
  </si>
  <si>
    <t>Qualquer transferência de arquivos para fora do ambiente Vivo (parceiros) precisa da aprovação do time de Proteção de Dados e DPO.</t>
  </si>
  <si>
    <t>A aprovação do time de Proteção de Dados e do DPO garante que a transferência esteja em conformidade com as políticas de privacidade e proteção de dados, como a LGPD. Sem essa aprovação, há risco de vazamentos ou não conformidade.</t>
  </si>
  <si>
    <t>A transferência de dados deve ocorrer via soluções homologadas pelo time de Segurança Digital. Apenas comunicação via SFTP não é permitida, por não suportar controles como os de rastreabilidade.</t>
  </si>
  <si>
    <t>O uso de soluções homologadas garante que a transferência atenda a padrões de segurança, como rastreabilidade e auditoria. O SFTP, sozinho, não oferece esses controles, aumentando o risco de transferências não rastreáveis ou inseguras.</t>
  </si>
  <si>
    <t>Caso possua dados classificados como restritos ou reservados, os arquivos, obrigatoriamente, precisam ser criptografados desde a origem.</t>
  </si>
  <si>
    <t>A criptografia desde a origem protege dados sensíveis contra interceptações ou acessos não autorizados durante a transferência. Sem ela, dados restritos ou reservados podem ser expostos, comprometendo a segurança e a privacidade.</t>
  </si>
  <si>
    <t>Qualquer transferência de arquivos, independente dos ambientes de comunicação, precisa ser realizada utilizando protocolos de comunicação criptografados, como TLS 1.3.</t>
  </si>
  <si>
    <t>A criptografia durante o trânsito (ex: TLS 1.3) protege os dados contra interceptações e espionagem. Sem ela, os arquivos podem ser lidos ou alterados por atacantes durante a transferência.</t>
  </si>
  <si>
    <t>Caso a transferência possua dados pessoais/sensíveis (de acordo com a LGPD) e/ou dados críticos para o negócio, e a transferência seja realizada para ambientes distintos, existe a necessidade de criptografar os arquivos desde a origem.</t>
  </si>
  <si>
    <t>A criptografia desde a origem é essencial para proteger dados pessoais/sensíveis e críticos, garantindo que apenas o destinatário autorizado possa acessá-los. Sem ela, há risco de vazamentos e não conformidade com a LGPD.</t>
  </si>
  <si>
    <t>OWASP Top 10</t>
  </si>
  <si>
    <t>Explicação da Correlação</t>
  </si>
  <si>
    <t>Toda transferência de arquivos deve utilizar protocolos de criptografia de trânsito robustos (ex: TLS 1.3 ou SFTP).</t>
  </si>
  <si>
    <t>A02:2021 - Cryptographic Failures</t>
  </si>
  <si>
    <t>A criptografia de trânsito protege contra falhas criptográficas, como interceptação de dados sensíveis durante a transferência.</t>
  </si>
  <si>
    <t>Toda transferência de arquivos precisa validar a autenticidade do destinatário antes da comunicação.</t>
  </si>
  <si>
    <t>A01:2021 - Broken Access Control</t>
  </si>
  <si>
    <t>A validação da autenticidade do destinatário garante que apenas entidades autorizadas possam receber os dados, evitando acesso não autorizado.</t>
  </si>
  <si>
    <t>Interface</t>
  </si>
  <si>
    <t>Network Security</t>
  </si>
  <si>
    <t>Implementar verificação de integridade dos arquivos (ex: checksum ou hash).</t>
  </si>
  <si>
    <t>A verificação de integridade garante que os arquivos não foram alterados durante a transferência, prevenindo falhas de integridade.</t>
  </si>
  <si>
    <t>Identity Security</t>
  </si>
  <si>
    <t>Para consumo de dados que necessitem de utilização de caixa postal, é necessário implementar autenticação multifator (MFA).</t>
  </si>
  <si>
    <t>A07:2021 - Identification and Authentication Failures</t>
  </si>
  <si>
    <t>A MFA reforça a autenticação, reduzindo o risco de acesso não autorizado a caixas postais ou sistemas de transferência.</t>
  </si>
  <si>
    <t>A transferência de dados e arquivos precisa necessariamente gerar logs conforme descrito no componente de rastreabilidade.</t>
  </si>
  <si>
    <t>A09:2021 - Security Logging and Monitoring Failures</t>
  </si>
  <si>
    <t>A geração de logs é essencial para monitoramento e detecção de atividades suspeitas, alinhando-se ao requisito de logging e monitoramento do OWASP.</t>
  </si>
  <si>
    <t>Configurar políticas de retenção e exclusão segura de arquivos após a transferência.</t>
  </si>
  <si>
    <t>Sem correlação</t>
  </si>
  <si>
    <t>Este controle está mais relacionado à governança de dados e privacidade, não tendo uma correlação direta com os itens do OWASP Top 10.</t>
  </si>
  <si>
    <t>Security Governance &amp; Compliance</t>
  </si>
  <si>
    <t>Este controle está focado em conformidade e governança, não tendo uma correlação direta com os itens do OWASP Top 10.</t>
  </si>
  <si>
    <t>Armazenamento</t>
  </si>
  <si>
    <t>O uso de soluções homologadas com rastreabilidade está alinhado ao requisito de logging e monitoramento do OWASP.</t>
  </si>
  <si>
    <t>A criptografia desde a origem protege contra falhas criptográficas, garantindo que dados restritos ou reservados não sejam expostos.</t>
  </si>
  <si>
    <t>A criptografia desde a origem protege dados pessoais/sensíveis e críticos contra vazamentos, alinhando-se ao requisito de proteção criptográfica do OWASP.</t>
  </si>
  <si>
    <t>Detalhamento do Requisito</t>
  </si>
  <si>
    <t>Stride-LM</t>
  </si>
  <si>
    <t>Impacto - Risco</t>
  </si>
  <si>
    <t>Correlação com Frameworks</t>
  </si>
  <si>
    <t>Estrutura - Sistema da Informação</t>
  </si>
  <si>
    <t>O Sistema deve notificar o usuário após uma ação de redefinição, reset ou alteração de senha.</t>
  </si>
  <si>
    <t>Sem notificação, o usuário pode não estar ciente de alterações em sua conta, o que pode indicar atividades maliciosas ou não autorizadas.</t>
  </si>
  <si>
    <t>Autenticação</t>
  </si>
  <si>
    <t>Fraudes</t>
  </si>
  <si>
    <t>O sistema deve obrigar o usuário a alterar a senha em seu primeiro acesso.</t>
  </si>
  <si>
    <t>Sem a alteração obrigatória no primeiro acesso, credenciais padrão ou temporárias podem ser usadas indevidamente, aumentando o risco de acesso não autorizado.</t>
  </si>
  <si>
    <t>O sistema deve bloquear o usuário na aplicação após no máximo 5 tentativas inválidas de acesso.</t>
  </si>
  <si>
    <t>Sem bloqueio após tentativas falhas, atacantes podem usar ataques de força bruta para adivinhar senhas, comprometendo a segurança da conta.</t>
  </si>
  <si>
    <t>A aplicação deve bloquear a credencial de acesso do usuário após 60 dias sem uso e desativar a credencial após 120 dias de inatividade.</t>
  </si>
  <si>
    <t>Sem bloqueio e desativação, credenciais inativas podem ser usadas por atacantes para acessar o sistema, especialmente se forem comprometidas.</t>
  </si>
  <si>
    <t>Senhas deverão conter: mínimo 8 caracteres; letras maiúscula e minúsculas, caracteres especiais e números.</t>
  </si>
  <si>
    <t>Senhas fracas são facilmente adivinhadas ou quebradas em ataques de força bruta, permitindo acesso não autorizado ao sistema.</t>
  </si>
  <si>
    <t>As senhas devem ser armazenadas de forma segura segira ma aplicação</t>
  </si>
  <si>
    <t>Sem armazenamento seguro, senhas podem ser expostas em caso de vazamento de dados, permitindo que atacantes as usem para acessar outras contas.</t>
  </si>
  <si>
    <t>Confidencialidade</t>
  </si>
  <si>
    <t>A solução deverá ter capacidade de fornecer explicações compreensíveis aos usuários sobre as decisões tomadas pela IA.</t>
  </si>
  <si>
    <t>Sem explicações claras, os usuários podem não confiar nas decisões da IA, e eventuais erros ou vieses podem passar despercebidos.</t>
  </si>
  <si>
    <t>Não repúdio</t>
  </si>
  <si>
    <t>Repudiação</t>
  </si>
  <si>
    <t>Saída e feedback</t>
  </si>
  <si>
    <t>Deverá ter uma verificação rigorosa de fornecedores e parceiros envolvidos no desenvolvimento e operação de sistemas de IA.</t>
  </si>
  <si>
    <t>Sem verificação rigorosa, fornecedores ou parceiros podem introduzir vulnerabilidades ou vieses nos sistemas de IA, comprometendo a segurança e a confiabilidade.</t>
  </si>
  <si>
    <t>Supply Chain Security</t>
  </si>
  <si>
    <t>Deverá ser utilizado técnicas de robustez adversarial para fortalecer modelos de IA contra ataques.</t>
  </si>
  <si>
    <t>Sem robustez adversarial, modelos de IA podem ser enganados por ataques maliciosos, resultando em decisões incorretas ou prejudiciais.</t>
  </si>
  <si>
    <t>Integridade</t>
  </si>
  <si>
    <t>Implementar técnicas de aprendizado federado para treinar modelos sem centralizar dados sensíveis.</t>
  </si>
  <si>
    <t>O aprendizado federado reduz o risco de vazamento de dados sensíveis, pois os dados não precisam ser centralizados para treinamento.</t>
  </si>
  <si>
    <t>Necessário utilizar técnicas de aprendizado diferencial privado para preservar a privacidade dos dados de treinamento.</t>
  </si>
  <si>
    <t>Sem privacidade diferencial, dados de treinamento podem ser expostos, comprometendo a privacidade dos usuários.</t>
  </si>
  <si>
    <t>Necessário manter registros detalhados (logs) das operações e decisões dos sistemas de IA.</t>
  </si>
  <si>
    <t>Sem logs, não há como auditar ou investigar decisões da IA, dificultando a detecção de vieses, erros ou atividades maliciosas.</t>
  </si>
  <si>
    <t>Necessário manter registros detalhados de todas as versões de modelos e dados utilizados no treinamento.</t>
  </si>
  <si>
    <t>Sem registro de versões, não há como rastrear mudanças nos modelos ou dados, dificultando a identificação de problemas ou a conformidade com regulamentações.</t>
  </si>
  <si>
    <t>Necessário adotar técnicas de IA explicável (XAI) para tornar as decisões de IA mais transparentes.</t>
  </si>
  <si>
    <t>Sem XAI, as decisões da IA podem parecer "caixas pretas", reduzindo a confiança dos usuários e dificultando a identificação de vieses ou erros.</t>
  </si>
  <si>
    <t>Necessário a utilização de uma sandbox (ambiente para consumo do LLM - Large Language Model) onde os dados são isolados, evitando assim possíveis vazamentos/trocas de informação para alimentar outras Inteligências artificiais.</t>
  </si>
  <si>
    <t>Sem uma sandbox, dados sensíveis podem vazar ou ser usados indevidamente para treinar outros modelos de IA.</t>
  </si>
  <si>
    <t>Toda IA utilizada deve se basear em uma versão enterprise, que respeite os direitos dos usuários e que possua proteções contra ataques cibernéticos diversos.</t>
  </si>
  <si>
    <t>O uso de versões não enterprise pode resultar em violações de privacidade ou falta de proteções adequadas contra ataques.</t>
  </si>
  <si>
    <t>A solução de AI deve ser treinada a fim de evitar/monitorar vieses que porventura possam gerar algum tipo de discriminação, seja por cor, sexo, religião, condição social e outros.</t>
  </si>
  <si>
    <t>Sem monitoramento de vieses, a IA pode tomar decisões discriminatórias, causando danos à reputação e problemas regulatórios.</t>
  </si>
  <si>
    <t>Os modelos utilizados devem conter formas de validar entradas de dados, sanitizar saídas e monitorar constantemente os retornos dados aos usuários diminuindo assim o risco de "alucinações".</t>
  </si>
  <si>
    <t>Sem validação e sanitização, a IA pode gerar saídas incorretas ou maliciosas, comprometendo a confiança dos usuários e a segurança do sistema.</t>
  </si>
  <si>
    <t>Os dados utilizados para treinar o modelo de IA devem ser devidamente avaliados e sanitizados.</t>
  </si>
  <si>
    <t>Dados não sanitizados podem introduzir vieses ou vulnerabilidades no modelo de IA, resultando em decisões incorretas ou prejudiciais.</t>
  </si>
  <si>
    <t>Havendo necessidade de compartilhamento de dados com parceiros, por meio de arquivos, esses deverão ser realizados por meio de ferramentas homologadas da Telefônica e só poderão ser realizados quando existir um contrato previamente firmado com o parceiro que contenha o Anexo de Segurança.</t>
  </si>
  <si>
    <t>Sem ferramentas homologadas e contratos, o compartilhamento de dados pode resultar em vazamentos ou uso indevido de informações sensíveis.</t>
  </si>
  <si>
    <t>Si</t>
  </si>
  <si>
    <t>Quando a solução prever a utilização de PowerBI, caso esteja em capacidade premium, deverá ser criado o link de compartilhamento diretamente do relatório e não da "capacidade"/ "workspace premium".</t>
  </si>
  <si>
    <t>Compartilhar o link da capacidade/workspace premium pode expor outros relatórios ou dados sensíveis a usuários não autorizados. O compartilhamento direto do relatório limita o acesso apenas ao conteúdo necessário.</t>
  </si>
  <si>
    <t>Quando a solução prever a utilização de PowerBI, é necessário inibir o checkbox que permite o recompartilhamento do relatório com outros usuários pelo destinatário. Ex.: "Permitir que o destinatário compartilhe este relatório" Deverá ser desmarcado no momento do compartilhamento.</t>
  </si>
  <si>
    <t>Permitir o recompartilhamento pode resultar em acesso não autorizado a dados sensíveis, já que o controle sobre quem acessa o relatório é perdido.</t>
  </si>
  <si>
    <t>Quando a solução prever a utilização de PowerBI, deverão ser ocultadas de forma definitiva quaisquer outras abas no relatório que não sejam necessárias para a atuação dos usuários.</t>
  </si>
  <si>
    <t>Abas desnecessárias podem expor informações sensíveis ou confidenciais a usuários que não deveriam ter acesso a elas.</t>
  </si>
  <si>
    <t>Quando a solução prever a utilização de PowerBI, é necessário inibir o checkbox que permite criação de conteúdo pelo destinatário baseada no relatório compartilhado. Ex.: "Permitir que o destinatário crie conteúdo com os dados associados a este relatório" Não deverá ser marcado no momento do compartilhamento.</t>
  </si>
  <si>
    <t>Permitir a criação de conteúdo com base no relatório compartilhado pode resultar em vazamento de dados, já que o destinatário pode usar os dados de forma não controlada.</t>
  </si>
  <si>
    <t>anco de Dados</t>
  </si>
  <si>
    <t>Criptografia em repouso e em trânsito</t>
  </si>
  <si>
    <t>Garantir que os dados armazenados e transmitidos estejam protegidos com algoritmos criptográficos fortes.</t>
  </si>
  <si>
    <t>RPAs precisam ter comprimento mínimo de senha de 12 caracteres alfanuméricos.</t>
  </si>
  <si>
    <t>Senhas curtas ou simples são facilmente quebradas em ataques de força bruta, permitindo acesso não autorizado ao RPA.</t>
  </si>
  <si>
    <t>Gestão de acessos e privilégios mínimos</t>
  </si>
  <si>
    <t>Implementar RBAC/ABAC para restringir acessos apenas a usuários autorizados, evitando privilégios excessivos.</t>
  </si>
  <si>
    <t>RPAs devem ter um período máximo de 30 dias para expiração de senha.</t>
  </si>
  <si>
    <t>Senhas que não expiram aumentam o risco de serem comprometidas e usadas por atacantes.</t>
  </si>
  <si>
    <t>Auditoria e monitoramento de atividades</t>
  </si>
  <si>
    <t>Registrar e revisar logs de acesso, alterações e consultas sensíveis para detectar atividades suspeitas.</t>
  </si>
  <si>
    <t>RPAs devem ter um histórico para impedir repetição das últimas 9 senhas.</t>
  </si>
  <si>
    <t>A repetição de senhas antigas facilita o acesso não autorizado, já que senhas comprometidas podem ser reutilizadas.</t>
  </si>
  <si>
    <t>Segregação de ambientes</t>
  </si>
  <si>
    <t>Evitar que ambientes de desenvolvimento, teste e homologação contenham dados reais, utilizando dados fictícios ou mascarados.</t>
  </si>
  <si>
    <t>RPAs não devem acessar APIs via RPA Screen Scraping, esse tipo de integração deve sempre ocorrer através do backend.</t>
  </si>
  <si>
    <t>O Screen Scraping é vulnerável a alterações na interface e pode expor dados sensíveis. A integração via backend é mais segura e confiável.</t>
  </si>
  <si>
    <t>Proteção contra SQL Injection e outras vulnerabilidades</t>
  </si>
  <si>
    <t>Implementar validação de entrada e uso de prepared statements para prevenir ataques.</t>
  </si>
  <si>
    <t>RPAs não podem acessar diretamente banco de dados, qualquer acesso desse tipo realizado por RPAs deve ser feito via API. Com todos os controles apontados no grupo de "Arquitetura de APIs".</t>
  </si>
  <si>
    <t>O acesso direto a bancos de dados aumenta o risco de vazamentos ou alterações não autorizadas. O uso de APIs com controles de segurança reduz esse risco.</t>
  </si>
  <si>
    <t>Backup e recuperação de desastres</t>
  </si>
  <si>
    <t>Garantir backup periódico com testes regulares de restauração para evitar perda de dados.</t>
  </si>
  <si>
    <t>O acesso de RPAs deve ser permitido apenas para máquinas com certificado digital válido. Dessa forma, com validação de usuário, senha e certificado digital (MFA).</t>
  </si>
  <si>
    <t>Sem MFA, o acesso ao RPA pode ser comprometido apenas com a senha, aumentando o risco de acesso não autorizado.</t>
  </si>
  <si>
    <t>Hardening de sistema operacional</t>
  </si>
  <si>
    <t>Aplicar práticas de segurança como desativação de serviços desnecessários, configuração segura de logs e remoção de contas padrão.</t>
  </si>
  <si>
    <t>O software de desenvolvimento dos RPAs deve estar homologado pela Vivo e possuir gestão de acessos adequada de acordo com o grupo de "Gestão de Acessos".</t>
  </si>
  <si>
    <t>O uso de software não homologado ou sem gestão de acessos adequada pode resultar em vulnerabilidades ou acesso não autorizado ao ambiente de desenvolvimento.</t>
  </si>
  <si>
    <t>Gerenciamento de patches e atualizações</t>
  </si>
  <si>
    <t>Manter o sistema operacional e aplicativos atualizados com correções de segurança.</t>
  </si>
  <si>
    <t>RPAs que utilizem de mecanismos de transferência de arquivos devem seguir todos os controles de File GTW e criptografia apontados nos Requisitos de Segurança Digital.</t>
  </si>
  <si>
    <t>Sem controles de transferência de arquivos, dados sensíveis podem ser interceptados ou vazados durante a transferência.</t>
  </si>
  <si>
    <t>Controle de acesso administrativo</t>
  </si>
  <si>
    <t>Utilizar autenticação multifator (MFA) e restringir acessos administrativos por meio de bastion hosts/jump servers.</t>
  </si>
  <si>
    <t>Monitoramento e detecção de ameaças</t>
  </si>
  <si>
    <t>Implementar EDR/XDR para identificar e responder a comportamentos suspeitos em tempo real.</t>
  </si>
  <si>
    <t>Configuração segura de logs e retenção</t>
  </si>
  <si>
    <t>Garantir que logs sejam armazenados de forma segura e acessíveis apenas para análise forense e auditorias.</t>
  </si>
  <si>
    <t>Garantir que cada token OTP (One Time Password), se aplicável, só possa ser usado uma única vez.</t>
  </si>
  <si>
    <t>Tokens OTP reutilizáveis podem ser capturados e usados por atacantes para acessar o sistema.</t>
  </si>
  <si>
    <t>Segregação de rede</t>
  </si>
  <si>
    <t>Isolar servidores críticos em segmentos seguros para evitar movimentação lateral em caso de incidente.</t>
  </si>
  <si>
    <t>Solução obrigatoriamente precisa se integrar com o Identity Provider definido pela Companhia para autenticação e autorização através de modelos de segurança seguros como OpenID, OAuth2 e SAML2.0 no fluxo 3-Legged Authentication.</t>
  </si>
  <si>
    <t>Sem integração com o IdP, a autenticação e autorização podem ser inconsistentes ou inseguras, aumentando o risco de acesso não autorizado.</t>
  </si>
  <si>
    <t>Workstations</t>
  </si>
  <si>
    <t>Proteção contra malware e ameaças avançadas</t>
  </si>
  <si>
    <t>Utilizar soluções EPP/EDR para detectar e bloquear malware, phishing e ataques de engenharia social.</t>
  </si>
  <si>
    <t>É mandatório que a solução suporte e implemente o modelo de autorização baseado em perfis de acesso conforme o padrão RBAC (Role Based Access Control).</t>
  </si>
  <si>
    <t>Sem RBAC, os usuários podem ter permissões excessivas, aumentando o risco de acesso não autorizado a funcionalidades ou dados sensíveis.</t>
  </si>
  <si>
    <t>Autorização</t>
  </si>
  <si>
    <t>Aplicação de políticas de hardening</t>
  </si>
  <si>
    <t>Restringir instalação de softwares não autorizados, desativar execução automática de mídias removíveis e aplicar restrições de scripts.</t>
  </si>
  <si>
    <t>A interface de administração da solução deve ser federada ao IdP (Identity Provider) da VIVO.</t>
  </si>
  <si>
    <t>Sem federação ao IdP, a administração da solução pode ser inconsistente ou insegura, aumentando o risco de acesso não autorizado.</t>
  </si>
  <si>
    <t>Gerenciamento de identidade e acesso</t>
  </si>
  <si>
    <t>Implementar políticas de senha forte, MFA e controle de sessão para evitar acessos indevidos.</t>
  </si>
  <si>
    <t>Toda a gestão de acessos da solução deve ser efetuada exclusivamente através do IDM (Identity Manager) homologado pela Vivo, por meio de integração sistêmica com o uso de API.</t>
  </si>
  <si>
    <t>Sem integração com o IDM, a gestão de acessos pode ser inconsistente ou insegura, aumentando o risco de acesso não autorizado.</t>
  </si>
  <si>
    <t>Bloqueio de dispositivos removíveis e conexões não seguras</t>
  </si>
  <si>
    <t>Restringir uso de pendrives e dispositivos externos para evitar exfiltração de dados e infecções.</t>
  </si>
  <si>
    <t>A solução suporta prover uma API que permita executar TODAS as tarefas de gestão de acessos e do ciclo de vida do usuário, provendo, no mínimo, as seguintes capacidades: Criar Usuários, Remover usuários, Bloquear/Desbloquear usuários, Atribuir usuários a perfis, Remover usuários de perfis.</t>
  </si>
  <si>
    <t>Sem uma API para gestão de acessos, a administração de usuários pode ser manual e propensa a erros, aumentando o risco de acesso não autorizado.</t>
  </si>
  <si>
    <t>Treinamento e conscientização de usuários</t>
  </si>
  <si>
    <t>Realizar campanhas de conscientização sobre boas práticas de segurança, phishing e riscos de engenharia social.</t>
  </si>
  <si>
    <t>É mandatório suportar e implementar que o processo de Gestão de Acessos seja efetuado através de um perfil exclusivo diferente de outros perfis, incluindo o ADMINISTRADOR.</t>
  </si>
  <si>
    <t>Sem segregação de perfis, administradores podem ter permissões excessivas, aumentando o risco de abuso ou erro humano.</t>
  </si>
  <si>
    <t>A solução deve suportar permitir criação de perfis dedicados para a gestão de acesso segregado das tarefas administrativas, desenvolvimento e/ou operação da plataforma.</t>
  </si>
  <si>
    <t>Sem segregação de perfis, usuários podem ter permissões conflitantes, aumentando o risco de acesso não autorizado ou abuso de funcionalidades.</t>
  </si>
  <si>
    <t>Mandatório existir segregação de perfis funcionais quando houver funcionalidades críticas identificadas e/ou permissividade de alterações de parâmetros.</t>
  </si>
  <si>
    <t>Sem segregação de perfis, usuários podem ter acesso a funcionalidades críticas sem necessidade, aumentando o risco de erros ou abusos.</t>
  </si>
  <si>
    <t>A solução precisa permitir criar perfis dedicados para a gestão de auditoria segregado das tarefas administrativas, desenvolvimento e/ou operação da plataforma.</t>
  </si>
  <si>
    <t>Sem perfis dedicados para auditoria, as trilhas de auditoria podem ser manipuladas ou acessadas indevidamente, comprometendo a integridade dos logs.</t>
  </si>
  <si>
    <t>Gestão de atualizações e patches</t>
  </si>
  <si>
    <t>Garantir que o sistema operacional e aplicativos recebam atualizações críticas de segurança regularmente.</t>
  </si>
  <si>
    <t>É mandatório suportar a nomenclatura dos usuários privilegiados siga o padrão estabelecido pela equipe de Gestão de Acessos e Identidade Digital da VIVO.</t>
  </si>
  <si>
    <t>Sem padronização, a identificação de usuários privilegiados pode ser inconsistente, dificultando a gestão e o monitoramento.</t>
  </si>
  <si>
    <t>A solução precisa suportar gerar uma matriz SoD (Separation of Duties) que permita identificar papéis e responsabilidades conflitantes em termos de perfil de acesso que o sistema apresenta.</t>
  </si>
  <si>
    <t>Sem uma matriz SoD, conflitos de permissões podem passar despercebidos, aumentando o risco de abuso ou erro humano.</t>
  </si>
  <si>
    <t>É mandatório que a solução tenha usuários privilegiados gerenciados exclusivamente pelo Cofre de Senhas Corporativo administrado pela equipe de Gestão de Acessos e Identidade Digital da VIVO.</t>
  </si>
  <si>
    <t>Sem gestão centralizada, senhas de usuários privilegiados podem ser comprometidas, permitindo acesso não autorizado.</t>
  </si>
  <si>
    <t>É mandatório que a solução suporte que a senha do usuário privilegiado seja de conhecimento e gestão exclusiva do Cofre de Senhas Corporativo administrado pela equipe de Gestão de Acessos e Identidade Digital da VIVO.</t>
  </si>
  <si>
    <t>É mandatório que a solução suporte que a utilização do acesso do usuário privilegiado somente deverá ocorrer através do gateway do Cofre de Senhas Corporativo administrado pela equipe de Gestão de Acessos e Identidade Digital da VIVO, através de protocolos de acesso remoto suportados e autorizados por esta solução.</t>
  </si>
  <si>
    <t>Sem acesso controlado, usuários privilegiados podem acessar o sistema de forma insegura, aumentando o risco de vazamentos ou abusos.</t>
  </si>
  <si>
    <t>Usuários serviços com acessos privilegiados deverão estar em uma ferramenta de PAM (Privileged Access Management) em todos os ambientes.</t>
  </si>
  <si>
    <t>Sem PAM, o acesso privilegiado pode ser comprometido, permitindo que atacantes assumam o controle de sistemas críticos.</t>
  </si>
  <si>
    <t>Qualquer sistema exposto à internet precisa possuir Múltiplo Fator de Autenticação (MFA).</t>
  </si>
  <si>
    <t>Sem MFA, o acesso a sistemas expostos à internet pode ser comprometido apenas com a senha, aumentando o risco de acesso não autorizado.</t>
  </si>
  <si>
    <t>Todas as camadas da aplicação (Backend, Frontend, banco de dados e etc) precisam autenticar e autorizar o usuário.</t>
  </si>
  <si>
    <t>Sem autenticação e autorização em todas as camadas, usuários podem acessar funcionalidades ou dados não autorizados.</t>
  </si>
  <si>
    <t>Qualquer aplicação que possua acesso administrativos precisa possuir Multi-Factor Authentication.</t>
  </si>
  <si>
    <t>Sem MFA, o acesso administrativo pode ser comprometido apenas com a senha, permitindo que atacantes assumam o controle do sistema.</t>
  </si>
  <si>
    <t>O sistema precisa possuir perfis de acesso baseados no princípio de mínimo privilégio.</t>
  </si>
  <si>
    <t>Sem o princípio de mínimo privilégio, usuários podem ter permissões excessivas, aumentando o risco de acesso não autorizado ou abuso de funcionalidades.</t>
  </si>
  <si>
    <t>As credenciais de conta de serviço e senhas de servidores e/ou banco de dados devem ser administradas na ferramenta de PAM (Privileged Access Management) definido pela Vivo.</t>
  </si>
  <si>
    <t>Sem PAM, credenciais de contas de serviço podem ser comprometidas, permitindo que atacantes assumam o controle de sistemas críticos.</t>
  </si>
  <si>
    <t>Obter as informações de perfil de acesso para autorizar o acesso dos usuários através de atributos constantes no Access Token do fluxo OAUTH/JWT ou do SAML Assertion.</t>
  </si>
  <si>
    <t>Sem autorização baseada em tokens, o acesso pode ser inconsistente ou inseguro, aumentando o risco de acesso não autorizado.</t>
  </si>
  <si>
    <t>A solução deve suportar a NÃO UTILIZAÇÃO E/OU EXIGIR que permissões de acesso sejam atribuídas diretamente a usuários.</t>
  </si>
  <si>
    <t>Atribuir permissões diretamente a usuários pode resultar em inconsistências ou permissões excessivas, aumentando o risco de acesso não autorizado.</t>
  </si>
  <si>
    <t>A solução de RBAC deve atribuir minimamente as seguintes permissões a um objeto da solução: Permite alterar, permite apenas visualizar ou não permite acesso.</t>
  </si>
  <si>
    <t>Sem permissões claras, usuários podem ter acesso indevido a funcionalidades ou dados, aumentando o risco de abuso ou erro humano.</t>
  </si>
  <si>
    <t>A solução permitirá que os perfis devem ser associados a grupos no sistema de autenticação da CONTRATANTE (Ex: Access Token OAUTH ou SAML Assertion) de forma a permitir a autorização através de grupos sem a necessidade de administração de usuários e perfis diretamente na solução.</t>
  </si>
  <si>
    <t>Sem associação a grupos, a gestão de acessos pode ser manual e propensa a erros, aumentando o risco de acesso não autorizado.</t>
  </si>
  <si>
    <t>Contas de serviço precisam estar em uma ferramenta de Key Vault e/ou PAM (Cofre de Senhas e Azure Key Vault, por exemplo).</t>
  </si>
  <si>
    <t>Sem gestão centralizada, credenciais de contas de serviço podem ser comprometidas, permitindo que atacantes assumam o controle de sistemas críticos.</t>
  </si>
  <si>
    <t>Gestão de Identidade e acesso nas plataformas deve ser realizado pelo time de Identidade da Vivo.</t>
  </si>
  <si>
    <t>Sem gestão centralizada, a administração de identidades pode ser inconsistente ou insegura, aumentando o risco de acesso não autorizado.</t>
  </si>
  <si>
    <t>Garantir políticas de Roles Based Access Controls (RBAC).</t>
  </si>
  <si>
    <t>Contas de serviço com acesso privilegiado precisam estar em uma ferramenta de PAM ou usar acesso condicional.</t>
  </si>
  <si>
    <t>Sem PAM ou acesso condicional, o acesso privilegiado pode ser comprometido, permitindo que atacantes assumam o controle de sistemas críticos.</t>
  </si>
  <si>
    <t>O Multi-Factor Authentication (MFA) deverá estar habilitado por padrão via Política em nível de organização, para que seja replicado em todo o ambiente.</t>
  </si>
  <si>
    <t>Sem MFA habilitado por padrão, o acesso a sistemas pode ser comprometido apenas com a senha, aumentando o risco de acesso não autorizado.</t>
  </si>
  <si>
    <t>Detalhamento do requisito aprimorado</t>
  </si>
  <si>
    <t>Ativar criptografia de payload e handshake entre front-end e camada de exposição de APIs</t>
  </si>
  <si>
    <t>Sem criptografia, os dados trafegados entre o front-end e a API podem ser interceptados por atacantes (ataques de man-in-the-middle). Isso pode levar ao vazamento de informações sensíveis, comprometendo a confidencialidade dos dados e possibilitando fraudes. O uso de criptografia robusta garante que apenas partes autorizadas possam interpretar os dados, protegendo a integridade e autenticidade das comunicações.</t>
  </si>
  <si>
    <t>Prevenir mensagens de erro que permitam enumeração de usuários</t>
  </si>
  <si>
    <t>Mensagens de erro explícitas podem ser exploradas para descobrir usuários válidos, facilitando ataques de força bruta e comprometendo credenciais. Isso aumenta o risco de acesso não autorizado e exposição de informações confidenciais. O uso de mensagens genéricas evita que atacantes obtenham informações úteis sem prejudicar a experiência do usuário legítimo.</t>
  </si>
  <si>
    <t>Proteger a aplicação com Web Application Firewall (WAF)</t>
  </si>
  <si>
    <t>O WAF atua como uma camada de proteção contra ataques web comuns, como injeção de SQL, XSS e ataques DDoS. Sem essa proteção, a aplicação fica suscetível a exploração de vulnerabilidades conhecidas, o que pode resultar em vazamento de dados, interrupção dos serviços e comprometimento da infraestrutura.</t>
  </si>
  <si>
    <t>Corrigir vulnerabilidades críticas antes da implantação em produção (CI/CD)</t>
  </si>
  <si>
    <t>A exposição de vulnerabilidades críticas na produção pode permitir exploração imediata por atacantes, resultando em perda de dados, fraudes e interrupção de serviços. O processo de correção antecipada garante que a aplicação esteja segura antes de ser utilizada por usuários finais, reduzindo o risco de exploração.</t>
  </si>
  <si>
    <t>Segregar aplicações acessíveis via Internet por uma DMZ</t>
  </si>
  <si>
    <t>A DMZ cria uma barreira de proteção entre a internet e a rede interna, impedindo que um ataque contra uma aplicação pública afete outros sistemas críticos. Sem essa segregação, uma vulnerabilidade explorada pode permitir movimentação lateral na rede, comprometendo dados sensíveis e serviços internos.</t>
  </si>
  <si>
    <t>Implementar pinagem de certificado digital em soluções mobile</t>
  </si>
  <si>
    <t>A pinagem de certificado impede que atacantes utilizem certificados falsos para interceptar comunicações seguras. Sem essa proteção, ataques como man-in-the-middle podem comprometer credenciais e dados sigilosos, impactando diretamente a confiabilidade e integridade da aplicação.</t>
  </si>
  <si>
    <t>Implementar controle e validação de sessão (timeout, sessão simultânea, Mutual TLS)</t>
  </si>
  <si>
    <t>Sessões sem controle adequado podem ser sequestradas, permitindo acessos não autorizados e comprometendo a identidade do usuário. O uso de Mutual TLS fortalece a autenticação entre cliente e servidor, evitando que dispositivos mal-intencionados acessem a aplicação.</t>
  </si>
  <si>
    <t>Ofuscar dados sensíveis no frontend e backend</t>
  </si>
  <si>
    <t>A ofuscação dificulta a extração de informações confidenciais por atacantes, como chaves de API e credenciais. Sem essa proteção, dados sensíveis podem ser expostos diretamente no código ou nas respostas da aplicação, facilitando fraudes e acessos indevidos.</t>
  </si>
  <si>
    <t>Proteger contra ataques CSRF (Cross-Site Request Forgery) e configurar CORS corretamente</t>
  </si>
  <si>
    <t>Sem proteção contra CSRF, atacantes podem executar ações em nome do usuário sem seu consentimento, resultando em alterações indevidas de dados ou transações financeiras não autorizadas. Configurações inadequadas de CORS podem expor APIs a acessos não autorizados de domínios externos, aumentando o risco de exploração.</t>
  </si>
  <si>
    <t>A aplicação deve implementar validação de sessão (Front e Back via Mutual TLS)</t>
  </si>
  <si>
    <t>A validação de sessão impede que usuários permaneçam logados indefinidamente ou que sessões sejam reutilizadas após o logout. Mutual TLS adiciona uma camada extra de autenticação, garantindo que apenas dispositivos confiáveis estabeleçam conexões seguras.</t>
  </si>
  <si>
    <t>O WAF deve ser configurado para bloquear tentativas de exploração de vulnerabilidades críticas e ataques conhecidos. Sem essa proteção, a aplicação pode ficar exposta a ameaças como injeções de código, acesso não autorizado e ataques de negação de serviço.</t>
  </si>
  <si>
    <t>O Pentest identifica vulnerabilidades exploráveis que podem comprometer a segurança da aplicação. A não correção desses riscos pode resultar em exploração ativa por atacantes, impactando a confidencialidade, integridade e disponibilidade do sistema.</t>
  </si>
  <si>
    <t>As assinaturas digitais garantem que mensagens e transações não foram adulteradas e que a origem pode ser verificada. Sem esse controle, atacantes podem falsificar comunicações, facilitando fraudes e comprometendo a integridade dos dados.</t>
  </si>
  <si>
    <t>O reuso de tokens OTP compromete a segurança da autenticação multifator, permitindo que atacantes usem credenciais roubadas para acessar contas protegidas. Cada OTP deve ser de uso único para garantir que apenas o usuário legítimo consiga realizar a autenticação.</t>
  </si>
  <si>
    <t>Sem autenticação e autorização em todas as camadas, usuários mal-intencionados podem acessar diretamente dados e funcionalidades não permitidas. A ausência desses controles pode resultar em vazamento de informações e comprometimento da segurança da aplicação.</t>
  </si>
  <si>
    <t>Qualquer solução que tenha escopo PCI DSS (Pagamento com cartão de crédito) deve ser integrada ao Bureau de prevenção a fraude</t>
  </si>
  <si>
    <t>O Bureau de prevenção a fraudes permite monitoramento ativo e mitigação de transações fraudulentas. Sem essa integração, a organização pode sofrer fraudes financeiras, violações de conformidade e danos à reputação.</t>
  </si>
  <si>
    <t>Todas as aplicações precisam estar inventariadas no GovApp (aplicação de TI)</t>
  </si>
  <si>
    <t>O inventário centralizado permite rastreamento, auditoria e gestão de riscos de segurança das aplicações. Sem essa visibilidade, a empresa pode perder controle sobre seus ativos tecnológicos, dificultando a aplicação de políticas de segurança e compliance.</t>
  </si>
  <si>
    <t>Requisito</t>
  </si>
  <si>
    <t>Detalhamento Aprimorado</t>
  </si>
  <si>
    <t>O uso de TLS 1.3 protege os dados contra interceptação e alteração, evitando vazamentos e fraudes. Sem essa proteção, informações sensíveis podem ser expostas, comprometendo a conformidade e a confiança do usuário. A limitação de requisições e blocklist reduzem o risco de ataques DDoS e acessos mal-intencionados, enquanto a inspeção de tráfego permite detectar ameaças em tempo real.</t>
  </si>
  <si>
    <t>A autenticação forte impede acessos não autorizados, enquanto a autorização baseada em RBAC/ABAC garante que cada usuário tenha apenas as permissões necessárias. Sem esses controles, atacantes podem explorar acessos indevidos, comprometendo dados e permitindo fraudes. A revalidação contínua e o privilégio mínimo reduzem riscos de sequestro de sessão e escalonamento de privilégios.</t>
  </si>
  <si>
    <t>APIs que exigem autenticação devem adotar mecanismos seguros, incluindo expiração automática de tokens, proteção contra ataques de repetição e prevenção de falsificação de sessão.</t>
  </si>
  <si>
    <t>Tokens sem expiração podem ser reutilizados indevidamente, aumentando o risco de acessos indevidos. A proteção contra ataques de repetição impede que um atacante reenvie requisições capturadas para executar ações maliciosas. Já a prevenção contra falsificação de sessão protege contra ataques que buscam assumir identidades legítimas, evitando fraudes e vazamento de dados.</t>
  </si>
  <si>
    <t>Sem validação adequada, atacantes podem explorar falhas de entrada para manipular consultas e injetar códigos maliciosos, levando ao roubo de dados, desfiguração de páginas e comprometimento do sistema. A validação previne ataques como SQL Injection e XSS, garantindo a integridade e segurança das informações.</t>
  </si>
  <si>
    <t>A rastreabilidade permite identificar atividades suspeitas e responsabilizar usuários por ações realizadas. Sem governança, não há controle sobre acessos e integrações, facilitando fraudes, vazamentos de dados e não conformidade regulatória. A definição de áreas responsáveis assegura que políticas de segurança sejam aplicadas corretamente.</t>
  </si>
  <si>
    <t>Mensagens de erro detalhadas podem revelar informações sobre a estrutura do sistema, auxiliando atacantes na exploração de vulnerabilidades. A exposição de dados internos pode levar a violações regulatórias e comprometimento da segurança. O tratamento adequado dos erros evita que informações sensíveis sejam divulgadas sem prejudicar a experiência do usuário.</t>
  </si>
  <si>
    <t>Os bancos de dados utilizados pela aplicação devem possuir uma rotina de backup documentada, aplicada e testada periodicamente</t>
  </si>
  <si>
    <t>A falta de backups pode levar à perda irreparável de dados em caso de falhas ou ataques, impactando diretamente a continuidade do negócio e a confiança dos clientes. A rotina documentada e testada assegura a integridade e disponibilidade das informações críticas.</t>
  </si>
  <si>
    <t>O banco de dados deve utilizar validações de entrada para evitar ataques de injeção, como SQL injection, que podem comprometer a integridade dos dados</t>
  </si>
  <si>
    <t>Sem validação de entradas, o banco de dados fica vulnerável a ataques de injeção, comprometendo dados e permitindo execução de código malicioso. Isso pode resultar em vazamento de informações sensíveis, comprometimento da integridade e graves consequências regulatórias.</t>
  </si>
  <si>
    <t>Realizar periodicamente auditorias de configurações e implementar ferramentas de monitoramento de conformidade, com automação na configuração</t>
  </si>
  <si>
    <t>Sem auditorias e monitoramento contínuo, configurações inseguras podem passar despercebidas, permitindo vulnerabilidades no sistema. Isso aumenta os riscos de violações de segurança, danos à reputação e não conformidade com regulamentações. A automação facilita a manutenção de configurações seguras e conformes.</t>
  </si>
  <si>
    <t>O banco de dados deve implementar criptografia em repouso para proteger as informações sensíveis</t>
  </si>
  <si>
    <t>A falta de criptografia em repouso pode expor dados sensíveis a acessos não autorizados, mesmo após vazamentos ou violações de segurança. A criptografia protege a confidencialidade dos dados, mitigando riscos de conformidade e prejuízos à imagem da empresa.</t>
  </si>
  <si>
    <t>Garantir a implementação de rotinas de atualizações de patches de segurança e monitoramento contínuo de ameaças, impedindo a exploração de vulnerabilidades</t>
  </si>
  <si>
    <t>A não implementação de rotinas de patch pode deixar o ambiente vulnerável a CVEs, aumentando o risco de exploração por atacantes. Atualizações contínuas garantem que brechas de segurança sejam corrigidas, protegendo o banco de dados contra novas ameaças e garantindo conformidade regulatória.</t>
  </si>
  <si>
    <t>Todo e qualquer consumo ao banco de dados deve passar por uma camada de orquestração (API Gateway ou barramento, por exemplo). O banco não deve ser exposto diretamente</t>
  </si>
  <si>
    <t>Expor o banco de dados diretamente aumenta a superfície de ataque, tornando-o suscetível a ataques como SQL Injection. A camada de orquestração filtra e valida as requisições, garantindo uma camada adicional de segurança, que reduz os riscos de acesso não autorizado e exploração de vulnerabilidades.</t>
  </si>
  <si>
    <t>Registrar logs de acesso, alterações e consultas sensíveis para detectar atividades suspeitas</t>
  </si>
  <si>
    <t>O registro de logs é essencial para detectar atividades suspeitas e garantir a rastreabilidade das ações realizadas no banco de dados. A falta de logs impede a identificação de incidentes de segurança e dificulta a investigação de falhas e fraudes, prejudicando a resposta a incidentes e a conformidade regulatória.</t>
  </si>
  <si>
    <t>O banco de dados precisa garantir todos os controles de identidade e acesso requisitados por segurança digital</t>
  </si>
  <si>
    <t>Sem controles adequados de identidade e acesso, o banco de dados fica vulnerável a acessos não autorizados, comprometendo a segurança dos dados e a conformidade com regulamentações de proteção de dados. A implementação de controles rigorosos reduz o risco de violação e garante a conformidade regulatória, além de proporcionar visibilidade e monitoramento contínuo.</t>
  </si>
  <si>
    <t>A utilização de assinaturas digitais assegura que as mensagens não foram alteradas e que a origem pode ser verificada sem dúvida, prevenindo ataques como falsificação de identidade e garantindo a integridade dos dados.</t>
  </si>
  <si>
    <t>Realizar análise estática de código (SAST) – Corrigir itens Críticos e Altos</t>
  </si>
  <si>
    <t>A análise estática de código permite identificar vulnerabilidades antes da execução do sistema. Corrigir itens críticos e altos ajuda a mitigar riscos de falhas de segurança, como injeções e exposições de dados, garantindo um código mais seguro desde a fase de desenvolvimento.</t>
  </si>
  <si>
    <t>Realizar análise dinâmica de código (DAST) – Corrigir itens Críticos e Altos</t>
  </si>
  <si>
    <t>A análise dinâmica testa a aplicação em tempo de execução para detectar vulnerabilidades como falhas de autenticação e autorização. Corrigir problemas críticos e altos impede que atacantes explorem brechas no ambiente de produção.</t>
  </si>
  <si>
    <t>Possuir dentro da squad de desenvolvimento um profissional que atue com o papel de Security Champion (com viés de segurança)</t>
  </si>
  <si>
    <t>O Security Champion é responsável por incorporar práticas de segurança durante todo o ciclo de vida do desenvolvimento, garantindo que a segurança seja uma prioridade. Isso minimiza riscos de falhas e aumenta a conscientização sobre ameaças dentro da equipe.</t>
  </si>
  <si>
    <t>Realizar análise de componentes de terceiro (SCA) – Corrigir itens Críticos e Altos</t>
  </si>
  <si>
    <t>A análise de componentes de terceiros ajuda a identificar vulnerabilidades em bibliotecas e dependências externas, que podem introduzir riscos no sistema. Corrigir itens críticos e altos assegura que essas vulnerabilidades não sejam exploradas por atacantes.</t>
  </si>
  <si>
    <t>Tratamento adequado de erros (utilização de try/catch/finally de forma adequada e utilização de melhores práticas de mercado)</t>
  </si>
  <si>
    <t>O tratamento adequado de erros impede que informações sensíveis sejam expostas em mensagens de erro, como detalhes do sistema ou dados confidenciais. Isso reduz o risco de exploração de vulnerabilidades por atacantes.</t>
  </si>
  <si>
    <t>É mandatório implementar revisões regulares de código com foco em práticas seguras, identificação de vulnerabilidades e conformidade com padrões de segurança estabelecidos.</t>
  </si>
  <si>
    <t>Revisões regulares de código permitem identificar falhas de segurança antes que cheguem a produção, garantindo que o código siga boas práticas e padrões de segurança. Isso minimiza o risco de erros não detectados e facilita a correção de problemas antes que causem danos.</t>
  </si>
  <si>
    <t>Para os casos de entrega via CI/CD garantir que os scans de segurança sejam entregues, assim como Guardrails de segurança que previnem vulnerabilidades críticas e altas de código vá para produção.</t>
  </si>
  <si>
    <t>O uso de scans de segurança e guardrails no CI/CD assegura que vulnerabilidades críticas não sejam promovidas para produção. Essa automação ajuda a identificar problemas rapidamente, protegendo a aplicação contra falhas de segurança que possam ser exploradas em produção.</t>
  </si>
  <si>
    <t>É mandatório adotar o princípio do menor privilégio ao projetar e codificar, garantindo que o código tenha acesso apenas às permissões e recursos necessários para sua execução.</t>
  </si>
  <si>
    <t>Adotar o princípio do menor privilégio reduz a superfície de ataque, garantindo que o código só tenha acesso ao mínimo necessário para a execução. Isso limita os danos em caso de falhas ou compromissos, protegendo dados sensíveis e funcionalidades críticas.</t>
  </si>
  <si>
    <t>É necessário validar e sanitizar todas as entradas de dados para prevenir ataques de injeção, como SQL injection e Cross-Site Scripting (XSS).</t>
  </si>
  <si>
    <t>A validação e sanitização de entradas previnem que dados maliciosos sejam enviados para o sistema, o que poderia resultar em ataques de injeção, como SQL Injection ou XSS, comprometendo a integridade e segurança dos dados.</t>
  </si>
  <si>
    <t>É necessário implementar práticas seguras para proteger as sessões de usuários, incluindo a utilização de tokens de sessão seguros, expiração de sessões e proteção contra ataques de sequestro de sessão.</t>
  </si>
  <si>
    <t>A proteção das sessões evita que atacantes sequestrem ou usem sessões válidas para obter acesso não autorizado. O uso de tokens seguros e expiração de sessões garante que os usuários tenham controle sobre o tempo e a segurança de suas sessões.</t>
  </si>
  <si>
    <t>A atualização contínua de software e dependências evita que o sistema fique exposto a vulnerabilidades conhecidas, que poderiam ser exploradas por atacantes. A aplicação de patches de segurança protege o ambiente contra riscos e mantém a conformidade com regulamentos.</t>
  </si>
  <si>
    <t>Garantir que o projeto tenha um catálogo de tecnologias atualizado e de fácil acesso para garantir a visibilidade do que está em uso.</t>
  </si>
  <si>
    <t>Um catálogo atualizado de tecnologias ajuda na rastreabilidade de componentes usados no projeto, garantindo que todas as tecnologias sejam seguidas corretamente em termos de segurança e conformidade. Isso facilita auditorias e a identificação de riscos associados a tecnologias desatualizadas.</t>
  </si>
  <si>
    <t>É necessário incorporar avaliações de segurança em todas as fases do SDLC, desde a concepção até a manutenção, garantindo uma abordagem holística à segurança do software.</t>
  </si>
  <si>
    <t>Avaliar a segurança em todas as fases do SDLC garante que vulnerabilidades sejam identificadas e corrigidas o mais cedo possível. Isso minimiza o risco de falhas críticas em produção e melhora a segurança de longo prazo do software.</t>
  </si>
  <si>
    <t>É necessário implementar controles de exceções robustos para lidar com erros de forma segura, evitando vazamento de informações sensíveis através de mensagens de erro.</t>
  </si>
  <si>
    <t>O controle de exceções ajuda a evitar que informações sensíveis, como dados de banco de dados ou detalhes do sistema, sejam expostas em mensagens de erro. Isso reduz o risco de exploração de falhas e protege a confidencialidade do sistema.</t>
  </si>
  <si>
    <t>É necessário implementar mecanismos de proteção contra ataques de força bruta, como bloqueio temporário de contas após um número específico de tentativas falhas de login (Rate limit).</t>
  </si>
  <si>
    <t>A implementação de mecanismos contra ataques de força bruta, como o rate limit, ajuda a prevenir que atacantes tentem adivinhar credenciais de usuários. Isso impede a exploração de senhas fracas e aumenta a segurança do sistema contra acessos não autorizados.</t>
  </si>
  <si>
    <t>É necessário configurar corretamente headers de segurança HTTP, como Content Security Policy (CSP) e Strict-Transport-Security (HSTS), para fortalecer a proteção contra diversas vulnerabilidades.</t>
  </si>
  <si>
    <t>Configurar corretamente os headers de segurança, como CSP e HSTS, fortalece a proteção contra vulnerabilidades comuns, como XSS e man-in-the-middle, garantindo que as páginas e dados sejam servidos de forma segura, sem exposição a ataques.</t>
  </si>
  <si>
    <t>É necessário validar dados tanto no lado do cliente quanto no lado do servidor para prevenir ataques como Cross-Site Scripting (XSS) e manipulação de dados no lado do cliente.</t>
  </si>
  <si>
    <t>A validação de dados no cliente e no servidor ajuda a evitar ataques de XSS e manipulação de dados, garantindo que apenas informações seguras sejam processadas pelo sistema e reduzindo a possibilidade de exploração por atacantes.</t>
  </si>
  <si>
    <t>É necessário adotar práticas seguras de codificação (ofuscação de código, prevenção contra root na aplicação e outros) específicas para o desenvolvimento de aplicativos móveis, incluindo a proteção contra manipulação de código no lado do cliente.</t>
  </si>
  <si>
    <t>As práticas seguras de codificação, como ofuscação e prevenção de root, protegem o código móvel contra reversão e manipulação por atacantes. Isso aumenta a segurança dos aplicativos móveis, tornando mais difícil a exploração de vulnerabilidades.</t>
  </si>
  <si>
    <t>Terminantemente proibido deixar credenciais armazenadas em código (hard-code), assim como em variáveis de ambiente.</t>
  </si>
  <si>
    <t>Armazenar credenciais em código ou em variáveis de ambiente pode expor informações sensíveis a ataques, como leitura não autorizada de código. A proibição de hard-code garante que credenciais sejam mantidas em lugares seguros e acessíveis apenas para quem tem permissão adequada.</t>
  </si>
  <si>
    <t>É mandatório que o processo de gestão de acessos seja efetuado através de um perfil exclusivo diferente de outros perfis, incluindo o ADMINISTRADOR.</t>
  </si>
  <si>
    <t>A segregação de perfis garante que administradores e outros usuários não acumulem permissões excessivas, o que pode resultar em abuso ou erro humano. Isso reduz o risco de comprometimento do sistema e assegura que o controle de acesso seja feito de forma mais eficaz.</t>
  </si>
  <si>
    <t>A solução deve suportar a criação de perfis dedicados para a gestão de acesso segregado das tarefas administrativas, desenvolvimento e/ou operação da plataforma.</t>
  </si>
  <si>
    <t>A segregação de perfis em tarefas administrativas, desenvolvimento e operação garante que os usuários tenham apenas as permissões necessárias para suas funções específicas, minimizando a exposição de dados e funcionalidades sensíveis.</t>
  </si>
  <si>
    <t>A segregação de perfis funcionais previne que usuários tenham acesso a funcionalidades críticas sem necessidade, o que pode levar a erros, abusos ou exposição de dados sensíveis. Isso melhora o controle e a segurança sobre áreas críticas do sistema.</t>
  </si>
  <si>
    <t>Os perfis de usuário devem ser criados baseados no conceito de mínimo privilégio.</t>
  </si>
  <si>
    <t>Adotar o princípio do mínimo privilégio garante que cada usuário tenha acesso apenas às permissões estritamente necessárias para realizar suas funções. Isso reduz significativamente o risco de exploração ou uso indevido do sistema.</t>
  </si>
  <si>
    <t>O gerenciamento dos acessos do sistema deve ser realizado pelo time de Identidade Digital da Vivo.</t>
  </si>
  <si>
    <t>O time de Identidade Digital deve ser responsável pela administração dos acessos, garantindo que apenas usuários autorizados e com as permissões adequadas tenham acesso ao sistema, além de fornecer governança e rastreabilidade dos acessos realizados.</t>
  </si>
  <si>
    <t>O sistema deve possuir uma interface que permita gerenciar perfis, funcionalidades e relatórios.</t>
  </si>
  <si>
    <t>Uma interface centralizada e intuitiva para o gerenciamento de perfis, funcionalidades e relatórios é essencial para garantir uma administração eficiente e segura dos acessos, possibilitando controle e auditoria contínuos.</t>
  </si>
  <si>
    <t>Nos relatórios devem conter funcionalidades liberadas por perfil. O sistema deve possuir um perfil exclusivo de Identidade Digital para gerenciar a interface.</t>
  </si>
  <si>
    <t>Relatórios que mostram as funcionalidades liberadas por perfil fornecem transparência e facilitam a auditoria dos acessos. O perfil exclusivo de Identidade Digital assegura que somente usuários autorizados possam gerenciar e configurar esses relatórios de forma segura.</t>
  </si>
  <si>
    <t>O sistema deve possuir um perfil exclusivo de Identidade Digital para gerenciar a interface.</t>
  </si>
  <si>
    <t>O perfil exclusivo de Identidade Digital garante que o gerenciamento da interface seja restrito a um conjunto de usuários com privilégios específicos, assegurando que o processo de administração de acessos seja feito de maneira controlada e segura.</t>
  </si>
  <si>
    <t>Sem notificação, o usuário pode não perceber alterações feitas em sua conta, o que pode ser um indicativo de atividades maliciosas ou não autorizadas. A notificação garante que o usuário tenha conhecimento imediato e possa agir rapidamente caso não tenha realizado a alteração.</t>
  </si>
  <si>
    <t>Se a alteração da senha não for obrigatória no primeiro acesso, credenciais padrão ou temporárias podem ser utilizadas indevidamente. Isso aumenta o risco de acesso não autorizado e compromete a segurança inicial da conta do usuário.</t>
  </si>
  <si>
    <t>Sem bloqueio após tentativas falhas, atacantes podem realizar ataques de força bruta para adivinhar senhas, comprometendo a segurança das contas. O bloqueio reduz a possibilidade de tais ataques e protege as credenciais de acessos não autorizados.</t>
  </si>
  <si>
    <t>Credenciais inativas que não são bloqueadas ou desativadas podem ser utilizadas por atacantes caso sejam comprometidas. A inatividade prolongada sem medidas de segurança aumenta o risco de acesso não autorizado, e o bloqueio/desativação minimiza esse risco.</t>
  </si>
  <si>
    <t>Senhas fracas, como aquelas que não atendem aos requisitos de complexidade, são mais fáceis de adivinhar ou quebrar em ataques de força bruta, o que permite o acesso não autorizado ao sistema. Exigir senhas fortes aumenta a segurança contra tais ataques.</t>
  </si>
  <si>
    <t>As senhas devem ser armazenadas de forma segura na aplicação.</t>
  </si>
  <si>
    <t>Sem o armazenamento seguro das senhas (como criptografia adequada), elas podem ser expostas em caso de vazamento de dados. Isso permite que atacantes usem as senhas para acessar outras contas ou sistemas, comprometendo a integridade e a segurança da aplicação.</t>
  </si>
  <si>
    <t>A solução precisa garantir a integração para integral da gestão de acesso via Identity Provider (IdP) definidos pela companhia para a autenticação e autorização através de modelos de segurança.</t>
  </si>
  <si>
    <t>Sem a integração com o IdP, a autenticação e autorização podem ser inconsistentes ou inseguras, aumentando o risco de acesso não autorizado. A integração com o IdP assegura que as credenciais sejam validadas centralmente e que as políticas de segurança da empresa sejam seguidas.</t>
  </si>
  <si>
    <t>Sem o uso do modelo RBAC, usuários podem ter permissões excessivas ou inadequadas, aumentando o risco de acesso não autorizado a funcionalidades ou dados sensíveis. O RBAC garante que as permissões sejam atribuídas de acordo com as funções dos usuários, limitando o acesso conforme a necessidade.</t>
  </si>
  <si>
    <t>Sem integração com o IDM, a gestão de acessos pode ser inconsistente ou insegura, aumentando o risco de acesso não autorizado. A utilização do IDM homologado garante que a solução esteja alinhada com as políticas e padrões de segurança da Vivo.</t>
  </si>
  <si>
    <t>A solução deve prover APIs que permita executar todas as tarefas de gestão de acessos e do ciclo de vida do usuário, provendo, no mínimo, as seguintes capacidades: criar usuários, remover usuários, bloquear/desbloquear usuários, atribuir usuários a perfis, remover usuários de perfis.</t>
  </si>
  <si>
    <t>Sem uma API para gestão de acessos, a administração de usuários pode ser manual, propensa a erros e inconsistente, aumentando o risco de acesso não autorizado. A API permite uma gestão centralizada e automatizada dos usuários e suas permissões.</t>
  </si>
  <si>
    <t>Sem perfis dedicados para auditoria, as trilhas de auditoria podem ser manipuladas ou acessadas indevidamente, comprometendo a integridade dos logs. A segregação assegura que a auditoria seja feita de forma independente, mantendo a confiabilidade dos registros.</t>
  </si>
  <si>
    <t>Seguir o padrão de nomenclatura para usuários privilegiados facilita a governança e a rastreabilidade de acessos. Isso assegura uma melhor gestão e conformidade com as políticas de identidade e segurança.</t>
  </si>
  <si>
    <t>A solução precisa suportar a geração de matriz SoD (Separation of Duties) que permita identificar papéis e responsabilidades conflitantes em termos de perfil de acesso que o sistema apresenta.</t>
  </si>
  <si>
    <t>Sem uma matriz SoD, conflitos de permissões podem passar despercebidos, aumentando o risco de abuso de poder ou erros humanos. A matriz SoD ajuda a identificar e mitigar esses conflitos, garantindo que as responsabilidades sejam bem distribuídas.</t>
  </si>
  <si>
    <t>Sem gestão centralizada de usuários privilegiados, suas senhas podem ser comprometidas, permitindo acesso não autorizado. O Cofre de Senhas Corporativo garante que o acesso privilegiado seja controlado de maneira centralizada e segura.</t>
  </si>
  <si>
    <t>Sem gestão centralizada das senhas de usuários privilegiados, elas podem ser comprometidas, permitindo acesso não autorizado a sistemas críticos. O Cofre de Senhas Corporativo garante que essas credenciais sejam gerenciadas e protegidas adequadamente.</t>
  </si>
  <si>
    <t>Sem controle rigoroso de acesso, usuários privilegiados podem acessar sistemas de maneira insegura, aumentando o risco de vazamento de dados ou abusos. O gateway do Cofre de Senhas Corporativo oferece uma camada adicional de segurança no acesso remoto.</t>
  </si>
  <si>
    <t>Sem MFA, o acesso a sistemas expostos à internet pode ser comprometido apenas com a senha, aumentando o risco de acesso não autorizado. O MFA adiciona uma camada extra de segurança, tornando o acesso mais seguro e difícil de ser comprometido.</t>
  </si>
  <si>
    <t>Sem MFA, o acesso administrativo pode ser comprometido apenas com a senha, permitindo que atacantes assumam o controle do sistema. O MFA é essencial para proteger os acessos administrativos e evitar que ataques de força bruta sejam bem-sucedidos.</t>
  </si>
  <si>
    <t>Sem o princípio de mínimo privilégio, os usuários podem ter permissões excessivas, aumentando o risco de acesso não autorizado ou abuso de funcionalidades. Este princípio garante que cada usuário tenha apenas as permissões necessárias para realizar suas funções.</t>
  </si>
  <si>
    <t>Sem PAM, as credenciais de contas de serviço podem ser comprometidas, permitindo que atacantes assumam o controle de sistemas críticos. O PAM garante que o acesso privilegiado seja controlado e auditado de forma centralizada e segura.</t>
  </si>
  <si>
    <t>Sem a gestão centralizada das contas de serviço, as credenciais podem ser comprometidas, permitindo acesso não autorizado a sistemas críticos. Ferramentas de Key Vault e PAM asseguram que essas credenciais sejam protegidas adequadamente.</t>
  </si>
  <si>
    <t>Sem uma gestão centralizada de identidades, a administração de acessos pode ser inconsistente e insegura, aumentando o risco de acesso não autorizado. O time de Identidade da Vivo garante que as políticas e procedimentos de segurança sejam seguidos corretamente.</t>
  </si>
  <si>
    <t>Sem MFA habilitado por padrão, o acesso a sistemas pode ser comprometido apenas com a senha, o que aumenta o risco de acesso não autorizado. Habilitar o MFA por padrão em toda a organização garante uma abordagem consistente e segura para todos os acessos.</t>
  </si>
  <si>
    <t>A falta de integração com o IdP pode resultar em inconsistências ou falhas de segurança na autenticação e autorização, aumentando o risco de acesso não autorizado. A integração com o IdP assegura que as credenciais sejam validadas de forma centralizada, seguindo as políticas de segurança da companhia.</t>
  </si>
  <si>
    <t>A ausência de RBAC pode permitir que usuários adquiram permissões inadequadas ou excessivas, expondo o sistema a riscos de acesso indevido ou vazamento de dados. O modelo RBAC garante que as permissões sejam atribuídas com base nas funções dos usuários, restringindo o acesso a funcionalidades sensíveis conforme necessário.</t>
  </si>
  <si>
    <t>Caso a gestão de acessos não esteja integrada ao IDM, pode ocorrer inconsistência ou vulnerabilidade na administração de acessos, ampliando as chances de brechas de segurança. A integração com o IDM garantirá uma abordagem uniforme e alinhada às políticas da Vivo.</t>
  </si>
  <si>
    <t>A falta de uma API robusta para gestão de acessos pode tornar a administração manual, sujeitando o sistema a erros e vulnerabilidades. A utilização de APIs facilita a automação e assegura uma gestão consistente e segura dos usuários e suas permissões.</t>
  </si>
  <si>
    <t>Caso não haja perfis dedicados para auditoria, existe o risco de manipulação ou acesso indevido aos registros de auditoria, comprometendo a integridade dos logs. A segregação dos perfis de auditoria garante a confiabilidade e a segurança na análise de eventos críticos do sistema.</t>
  </si>
  <si>
    <t>A nomenclatura inadequada para usuários privilegiados pode dificultar a rastreabilidade e a governança sobre esses acessos. Seguir o padrão estabelecido facilita o controle e a organização dos usuários privilegiados, melhorando a gestão de identidades.</t>
  </si>
  <si>
    <t>A inexistência de uma matriz SoD pode fazer com que conflitos de permissões passem despercebidos, resultando em riscos de abuso de autoridade ou erros operacionais. A matriz SoD permite a identificação de responsabilidades conflitantes, garantindo maior controle sobre as permissões de acesso.</t>
  </si>
  <si>
    <t>Se os usuários privilegiados não forem gerenciados de forma centralizada, as senhas podem ser vulneráveis a compromissos, abrindo portas para acessos não autorizados. O Cofre de Senhas Corporativo assegura que o acesso privilegiado seja rigorosamente controlado e auditado.</t>
  </si>
  <si>
    <t>A falta de uma gestão centralizada das senhas pode aumentar o risco de comprometimento de credenciais e o acesso não autorizado a sistemas críticos. O Cofre de Senhas Corporativo garante que as senhas dos usuários privilegiados sejam protegidas e administradas de forma segura.</t>
  </si>
  <si>
    <t>A utilização de métodos de acesso não controlados pode resultar em acessos inseguros por usuários privilegiados, expondo o sistema a vazamentos de dados ou abusos. O gateway do Cofre de Senhas Corporativo garante que o acesso remoto seja realizado de forma controlada e segura.</t>
  </si>
  <si>
    <t>A falta de MFA em sistemas expostos à internet pode facilitar ataques de acesso apenas com senha, aumentando a possibilidade de comprometimento do sistema. A implementação do MFA oferece uma camada adicional de segurança, protegendo contra tentativas de acesso não autorizado.</t>
  </si>
  <si>
    <t>Caso o MFA não seja implementado para acessos administrativos, as senhas se tornam o único fator de segurança, tornando o sistema vulnerável a ataques. O MFA é essencial para aumentar a segurança de acessos administrativos e evitar que ataques de força bruta sejam bem-sucedidos.</t>
  </si>
  <si>
    <t>Quando o princípio de mínimo privilégio não é seguido, os usuários podem adquirir permissões desnecessárias, o que pode resultar em acessos indevidos ou abusos de funcionalidades. O princípio de mínimo privilégio garante que os usuários tenham apenas as permissões necessárias para realizar suas tarefas.</t>
  </si>
  <si>
    <t>A ausência de uma ferramenta centralizada de PAM pode colocar as credenciais de contas de serviço em risco, permitindo o comprometimento de sistemas críticos. O PAM fornece uma abordagem centralizada e segura para o gerenciamento de credenciais privilegiadas.</t>
  </si>
  <si>
    <t>A gestão descentralizada de contas de serviço pode levar a vazamentos de credenciais, permitindo o acesso indevido a sistemas críticos. Ferramentas como Key Vault e PAM oferecem a segurança necessária para proteger e gerenciar essas credenciais de forma centralizada.</t>
  </si>
  <si>
    <t>A falta de gestão centralizada de identidade pode resultar em permissões inconsistentes ou inseguras, o que compromete a proteção de dados e sistemas. O time de Identidade da Vivo é responsável por garantir que todas as políticas de segurança e governança sejam aplicadas de forma consistente.</t>
  </si>
  <si>
    <t>A ausência de MFA habilitado por padrão pode criar brechas de segurança, permitindo o acesso a sistemas apenas com senhas, o que compromete a proteção dos dados. Habilitar MFA por padrão garante uma abordagem uniforme e segura em todo o ambiente da organização.</t>
  </si>
  <si>
    <t>Limitar a criação de compartilhamento diretamente ao relatório e não à assinatura do serviço.</t>
  </si>
  <si>
    <t>Permitir o compartilhamento de links para a capacidade ou workspace premium pode abrir acesso a outros relatórios ou dados sensíveis, potencialmente expondo informações a usuários não autorizados. Restringir o compartilhamento diretamente ao relatório garante que apenas o conteúdo necessário seja acessado.</t>
  </si>
  <si>
    <t>Inibir o recompartilhamento do relatório com outros usuários pelo destinatário.</t>
  </si>
  <si>
    <t>Quando o recompartilhamento não é controlado, o destinatário pode distribuir o relatório para outras pessoas, resultando em acesso não autorizado a dados sensíveis. Impedir o recompartilhamento garante que o controle sobre quem tem acesso ao conteúdo seja mantido.</t>
  </si>
  <si>
    <t>Limitar a exibição unicamente à aba do relatório que esteja estritamente definida no escopo definido no projeto.</t>
  </si>
  <si>
    <t>Abas extras ou não relevantes podem revelar informações confidenciais ou sensíveis que não estão dentro do escopo autorizado para o usuário. Limitar a exibição ao conteúdo estritamente necessário reduz o risco de exposição indevida.</t>
  </si>
  <si>
    <t>Limitar a criação de conteúdo pelo destinatário baseada no relatório compartilhado.</t>
  </si>
  <si>
    <t>Se o destinatário tiver liberdade para criar conteúdo com base nos dados do relatório compartilhado, isso pode resultar em vazamentos ou uso indevido das informações. Restringir a criação de conteúdo garante que os dados sejam utilizados de forma controlada e segura.</t>
  </si>
  <si>
    <t>Toda comunicação originária da internet deve garantir que o API Gateway só poderá aceitar requisições externas das soluções de WAF definidas pela companhia (ex: Akamai e/ou CloudFlare).</t>
  </si>
  <si>
    <t>O API Gateway é responsável por controlar e monitorar o acesso a funções críticas da aplicação. Sem essa restrição, o sistema se torna vulnerável a abusos e ataques externos. Garantir que apenas tráfego validado por soluções de WAF como Akamai ou CloudFlare minimize riscos de exploração externa.</t>
  </si>
  <si>
    <t>Ambientes de Desenvolvimento, Homologação e Teste precisam estar segregados do ambiente de produção.</t>
  </si>
  <si>
    <t>A separação entre ambientes produtivos e não produtivos (como desenvolvimento, homologação e testes) é fundamental para garantir a segurança e a integridade das operações da empresa. Ambientes segregados evitam que erros ou falhas nos testes impactem a produção.</t>
  </si>
  <si>
    <t>Apenas ambientes de produção devem conter dados reais. Ambientes de desenvolvimento, testes, homologação e outros devem possuir dados fictícios.</t>
  </si>
  <si>
    <t>Utilizar dados reais apenas no ambiente de produção é essencial para proteger informações sensíveis e garantir a privacidade. Ambientes de desenvolvimento e teste devem utilizar dados fictícios para reduzir riscos de exposição ou vazamento de dados.</t>
  </si>
  <si>
    <t>O sistema/aplicação/ativo precisa estar integrado ao nosso CMDB, garantindo a centralização dos ativos no inventário oficial.</t>
  </si>
  <si>
    <t>O CMDB é fundamental para o gerenciamento eficaz dos componentes de TI da organização, centralizando dados sobre hardware, software e serviços. Integrar o sistema ao CMDB facilita a gestão de ativos, a detecção de problemas e a realização de manutenções, melhorando a eficiência operacional.</t>
  </si>
  <si>
    <t>A aplicação deve ter implementado controles de microsegmentação, garantindo acesso somente entre contextos de serviços e operações da aplicação específica.</t>
  </si>
  <si>
    <t>A microsegmentação divide a rede em segmentos isolados, permitindo que apenas usuários e dispositivos autorizados acessem áreas específicas da aplicação. Isso impede o movimento lateral de ameaças dentro da rede e protege as informações sensíveis.</t>
  </si>
  <si>
    <t>O ambiente precisa possuir plano de contingência ou recursos que garantam a disponibilidade em casos de falhas ou desastres.</t>
  </si>
  <si>
    <t>Um plano de contingência define estratégias para garantir a continuidade dos negócios em situações adversas, como falhas técnicas ou desastres naturais. Esse planejamento é crucial para minimizar perdas financeiras, danos à reputação e garantir que a equipe saiba como agir durante crises.</t>
  </si>
  <si>
    <t>A aplicação precisa utilizar certificados digitais emitidos por autoridades confiáveis (definidas pela companhia) para validar a identidade das partes envolvidas em uma comunicação, fortalecendo a não repúdio.</t>
  </si>
  <si>
    <t>O uso de certificados digitais ajuda a autenticar a identidade das partes envolvidas em uma comunicação, evitando que informações sejam alteradas ou interceptadas. A prática de pinagem de certificados SSL/TLS protege contra ataques de man-in-the-middle (MITM).</t>
  </si>
  <si>
    <t>É necessário garantir que os certificados SSL/TLS sejam atualizados, utilizando algoritmos robustos e renovando certificados antes do vencimento para manter a segurança da comunicação.</t>
  </si>
  <si>
    <t>Manter os certificados SSL/TLS atualizados é crucial para garantir a integridade e segurança das comunicações. Certificados expirados podem ser vulneráveis a ataques, e a renovação antecipada assegura uma experiência segura e sem falhas para os usuários.</t>
  </si>
  <si>
    <t>A rede deve possuir segmentação para diferentes contextos e garantir que a comunicação do tráfego passe por pontos de controles que garantam revalidação contínua (com validações e autenticações).</t>
  </si>
  <si>
    <t>A segmentação de rede, em conjunto com validações contínuas, oferece segurança adicional, isolando diferentes contextos e garantindo que as comunicações sejam sempre reavaliadas antes de serem autorizadas. Isso previne o acesso não autorizado e minimiza riscos de falhas de segurança.</t>
  </si>
  <si>
    <t>Garantir que serviços internos não tenham portas expostas diretamente para a internet.</t>
  </si>
  <si>
    <t>A exposição direta de portas internas à internet é um ponto vulnerável que pode ser explorado por atacantes. Manter as portas fechadas reduz significativamente o risco de ataques, mantendo os sistemas protegidos contra acessos indesejados.</t>
  </si>
  <si>
    <t>Garantir que o provisionamento de endereços realize filtragem por origem, destino e serviço/porta.</t>
  </si>
  <si>
    <t>A filtragem detalhada de endereços de origem, destino e portas garante que somente comunicações legítimas sejam permitidas. Filtros vagos podem criar brechas para acessos não autorizados, aumentando o risco de ataques ou vazamento de dados.</t>
  </si>
  <si>
    <t>Garantir a exposição privada para serviços de armazenamento e banco de dados, evitando exposição a redes públicas.</t>
  </si>
  <si>
    <t>Usar Private Endpoints para acessar serviços de armazenamento e banco de dados na nuvem é uma prática crucial para proteger dados sensíveis. Isso garante que o tráfego não seja exposto à internet pública, aumentando a segurança e privacidade.</t>
  </si>
  <si>
    <t>Garantir a implementação de soluções para inspeção e detecção de tráfego de rede.</t>
  </si>
  <si>
    <t>Soluções de inspeção e detecção de tráfego de rede permitem identificar atividades suspeitas e possíveis intrusões. Essas ferramentas são essenciais para proteger a rede contra ameaças em tempo real e garantir a integridade da infraestrutura.</t>
  </si>
  <si>
    <t>Senhas curtas ou simples são vulneráveis a ataques de força bruta. Ao exigir senhas mais longas e complexas, garantimos que seja mais difícil para atacantes obterem acesso ao RPA.</t>
  </si>
  <si>
    <t>Senhas que nunca expiram oferecem mais tempo para ataques não detectados. A expiração regular ajuda a minimizar o risco de comprometimento prolongado.</t>
  </si>
  <si>
    <t>A reutilização de senhas anteriores aumenta o risco de ataques, especialmente quando as senhas antigas podem ter sido comprometidas. Impedir a repetição garante maior segurança ao evitar o uso de credenciais comprometidas.</t>
  </si>
  <si>
    <t>O Screen Scraping é vulnerável a alterações na interface de usuário e pode expor dados sensíveis. Usar integração via backend é uma abordagem mais segura, pois evita a dependência de elementos da interface.</t>
  </si>
  <si>
    <t>RPAs não podem acessar diretamente banco de dados, qualquer acesso desse tipo realizado por RPAs deve ser feito via API, com todos os controles apontados no grupo de "Arquitetura de APIs".</t>
  </si>
  <si>
    <t>Acesso direto ao banco de dados sem medições adequadas expõe informações sensíveis ao risco de vazamento ou alteração não autorizada. O uso de APIs com controle de segurança adequado reduz esses riscos significativamente.</t>
  </si>
  <si>
    <t>O acesso de RPAs deve ser permitido apenas para máquinas com certificado digital válido, com validação de usuário, senha e certificado digital (MFA).</t>
  </si>
  <si>
    <t>Sem autenticação multifatorial (MFA), o acesso ao RPA pode ser comprometido por meio de credenciais de usuário, aumentando a vulnerabilidade. A exigência de MFA garante uma camada extra de proteção, dificultando o acesso não autorizado.</t>
  </si>
  <si>
    <t>Software não homologado ou com gestão de acessos inadequada pode ser um ponto de falha na segurança. Garantir que o software utilizado tenha controles robustos evita vulnerabilidades e acesso não autorizado no ambiente de desenvolvimento.</t>
  </si>
  <si>
    <t>A transferência de arquivos sem controle adequado pode resultar em interceptação ou vazamento de dados sensíveis. A implementação de medidas de segurança, como criptografia, garante que a transferência de arquivos seja feita de forma segura.</t>
  </si>
  <si>
    <t>Caso o projeto utilize contêineres, é necessário garantir que eles sejam configurados de forma segura, seguindo as práticas recomendadas de hardening de segurança.</t>
  </si>
  <si>
    <t>A configuração segura dos contêineres é fundamental para evitar vulnerabilidades que podem ser exploradas por atacantes. Seguir práticas de hardening garante que os contêineres sejam resistentes a ataques e forneçam um ambiente seguro.</t>
  </si>
  <si>
    <t>O acesso a servidores deve exigir segundo fator de autenticação e, dependendo da criticidade, exigir o acesso via solução de PAM.</t>
  </si>
  <si>
    <t>A autenticação multifatorial (MFA) aumenta significativamente a segurança, pois exige mais do que apenas a senha para acessar servidores. A solução de Gestão de Acesso Privilegiado (PAM) pode fornecer um controle rigoroso sobre quem pode acessar recursos sensíveis.</t>
  </si>
  <si>
    <t>Implementar criptografia para dados em repouso, protegendo informações sensíveis de acesso não autorizado.</t>
  </si>
  <si>
    <t>A criptografia em repouso protege dados armazenados, como em discos ou backups, tornando-os ilegíveis sem a chave correta. Isso é crucial para garantir que informações sensíveis estejam seguras, mesmo que o armazenamento físico seja comprometido.</t>
  </si>
  <si>
    <t>A retenção de logs facilita a investigação de incidentes de segurança, fornecendo dados valiosos sobre acessos, alterações ou falhas. Esses registros permitem monitorar e auditar ações, facilitando a detecção de comportamentos suspeitos.</t>
  </si>
  <si>
    <t>Garantir a implementação de RBAC/ABAC para restringir os acessos.</t>
  </si>
  <si>
    <t>O Controle de Acesso Baseado em Funções (RBAC) ou o Controle de Acesso Baseado em Atributos (ABAC) limita os acessos a dados e funcionalidades com base nas funções ou características do usuário. Isso assegura que apenas pessoas autorizadas possam realizar determinadas ações dentro do sistema.</t>
  </si>
  <si>
    <t>Implementar segmentação e microssegmentação de rede para limitar o movimento lateral.</t>
  </si>
  <si>
    <t>A segmentação da rede divide a infraestrutura em partes isoladas, dificultando a propagação de ataques. Microssegmentação permite ainda mais controle, isolando fluxos de dados entre diferentes serviços e tornando mais difícil para atacantes se moverem lateralmente.</t>
  </si>
  <si>
    <t>O ativo precisa estar integrado ao CMDB, garantindo a centralização dos ativos no inventário oficial.</t>
  </si>
  <si>
    <t>O CMDB centraliza informações sobre ativos de TI, como hardware e software, permitindo a gestão eficiente e a identificação de vulnerabilidades ou falhas. Isso melhora a manutenção, controle de mudanças e facilita a análise de impacto em caso de incidentes.</t>
  </si>
  <si>
    <t>O servidor deverá estar integrado a uma solução de PAM para a gestão de chaves.</t>
  </si>
  <si>
    <t>A integração com soluções de PAM permite controlar o uso de chaves privilegiadas, restringindo o acesso a recursos críticos. Isso reduz o risco de abuso de contas privilegiadas e melhora a segurança geral do ambiente.</t>
  </si>
  <si>
    <t>Todos os servidores devem possuir imagem de SO e BD padrão da Vivo (com EDR, Antivírus, conector de SIEM e agente de Scan de Infra).</t>
  </si>
  <si>
    <t>Imagens padronizadas garantem que todos os servidores sejam configurados com as mesmas práticas de segurança, como EDR, antivírus e monitoramento. Isso facilita a gestão e garante que todas as instâncias atendam aos requisitos de segurança necessários.</t>
  </si>
  <si>
    <t>Utilizar soluções de prevenção de perda de dados (DLP) para monitorar e proteger dados sensíveis.</t>
  </si>
  <si>
    <t>A solução DLP ajuda a prevenir vazamentos de dados sensíveis, monitorando o fluxo de informações dentro e fora da rede. Essa ferramenta garante que dados importantes sejam protegidos e que a conformidade com regulamentos de privacidade seja mantida.</t>
  </si>
  <si>
    <t>Todos os servidores devem possuir imagem de SO e BD padrão da companhia (com EDR, DLP, Antivírus, agente do SIEM e agente de Scan de Infra).</t>
  </si>
  <si>
    <t>A utilização de imagens padrão da companhia assegura que todos os servidores estejam protegidos por ferramentas de segurança essenciais, como DLP, antivírus e SIEM. Isso garante uma base segura e uniforme em toda a infraestrutura de TI.</t>
  </si>
  <si>
    <t>A criptografia de trânsito é crucial para garantir que os dados não possam ser interceptados ou alterados durante a transferência. Protocolos como TLS 1.3 ou SFTP são projetados para proteger a integridade e confidencialidade dos dados, prevenindo ataques como man-in-the-middle.</t>
  </si>
  <si>
    <t>A autenticação do destinatário assegura que os arquivos sejam enviados para o destino correto e não para uma parte maliciosa. Isso pode ser feito com certificados digitais ou autenticação mútua (mTLS), proporcionando uma camada extra de segurança.</t>
  </si>
  <si>
    <t>A verificação de integridade com mecanismos como checksum ou hash garante que os arquivos não foram alterados ou corrompidos durante a transferência. Isso permite identificar se os dados foram manipulados antes de serem recebidos.</t>
  </si>
  <si>
    <t>A MFA proporciona uma camada extra de segurança, exigindo múltiplos fatores de autenticação para garantir que apenas usuários autorizados possam acessar ou realizar transferências de dados, evitando o uso indevido de credenciais.</t>
  </si>
  <si>
    <t>A transferência de dados e arquivos precisa gerar logs conforme descrito no componente de rastreabilidade.</t>
  </si>
  <si>
    <t>Os logs de transferência são essenciais para auditoria e rastreabilidade. Eles permitem verificar quem enviou, para onde e quando os arquivos foram transferidos, facilitando investigações de incidentes de segurança ou violações.</t>
  </si>
  <si>
    <t>A retenção e exclusão segura de arquivos após a transferência minimiza o risco de exposição de dados sensíveis. Arquivos desnecessários ou antigos devem ser removidos de forma segura para reduzir o risco de vazamento ou acessos não autorizados.</t>
  </si>
  <si>
    <t>A aprovação prévia do time de Proteção de Dados e do DPO é necessária para garantir que todas as transferências externas estejam em conformidade com a legislação de privacidade e proteção de dados, como a LGPD. Isso reduz o risco de vazamentos e garante a conformidade legal.</t>
  </si>
  <si>
    <t>Soluções homologadas garantem que a transferência de dados atenda a requisitos de segurança, como rastreabilidade e controle de acesso. O uso de apenas SFTP é inadequado, pois não oferece funcionalidades completas de auditoria e monitoramento de transferências.</t>
  </si>
  <si>
    <t>Caso a transferência possua dados pessoais/sensíveis (de acordo com a LGPD, dados críticos para o negócio e/ou a transferência seja realizada para ambientes distintos (Vivo para parceiro, por exemplo), existe a necessidade de criptografar os arquivos desde a origem.</t>
  </si>
  <si>
    <t>A criptografia desde a origem é essencial para proteger dados sensíveis e pessoais, garantindo que eles permaneçam seguros durante toda a transferência, especialmente quando os dados são enviados para ambientes externos. Isso também ajuda a garantir a conformidade com a LGPD e outras regulamentações de privacidade.</t>
  </si>
  <si>
    <t>Garantir a implementação de soluções de antivírus e monitoramento de endpoints (EDR) em todas as máquinas.</t>
  </si>
  <si>
    <t>O EDR (Endpoint Detection and Response) é essencial para detectar, prevenir e responder rapidamente a incidentes de segurança. Ele fornece visibilidade detalhada dos endpoints e permite ações automatizadas para bloquear ameaças antes que causem danos, além de melhorar as investigações e reduzir os riscos associados a ataques.</t>
  </si>
  <si>
    <t>É necessário manter o SO e as dependências atualizados, aplicando correções de segurança regularmente para mitigar as vulnerabilidades conhecidas.</t>
  </si>
  <si>
    <t>A atualização constante de sistemas operacionais e suas dependências é crucial para manter a segurança. Muitas vulnerabilidades de segurança são exploradas por atacantes assim que são descobertas, e as atualizações ajudam a corrigir essas falhas antes que possam ser exploradas.</t>
  </si>
  <si>
    <t>Implementar DLP para monitoramento de dados e evitar vazamento de informação.</t>
  </si>
  <si>
    <t>O DLP (Data Loss Prevention) é fundamental para proteger informações sensíveis, monitorando e controlando o fluxo de dados dentro e fora da organização. Ele evita vazamentos de dados acidentais ou maliciosos e ajuda a garantir conformidade com regulamentações de privacidade, como a LGPD, além de proteger a reputação da empresa.</t>
  </si>
  <si>
    <t>O uso de senhas fortes, autenticação multifatorial (MFA) e controles de sessão rigorosos são práticas essenciais para proteger o acesso a sistemas críticos. Essas medidas garantem que somente usuários autorizados possam acessar dados sensíveis, reduzindo o risco de compromissos de segurança causados por senhas fracas ou credenciais comprometidas.</t>
  </si>
  <si>
    <t>Dispositivos externos como pendrives são frequentemente usados como vetores para ataques, como infecção por malware e exfiltração de dados. Restringir ou controlar o uso desses dispositivos ajuda a proteger os dados sensíveis e a evitar a introdução de ameaças externas no ambiente corporativo.</t>
  </si>
  <si>
    <t>A instalação de softwares não autorizados pode introduzir vulnerabilidades e malware no ambiente corporativo. Restringir essa prática e desativar a execução automática de mídias removíveis impede que programas maliciosos sejam executados sem a autorização da equipe de TI. Além disso, aplicar restrições de scripts reduz a possibilidade de execução de códigos não autorizados que possam comprometer a segurança.</t>
  </si>
  <si>
    <t>Desabilitar serviços não essenciais e usar configurações de segurança recomendadas (Ex.: CIS Benchmarks) no hardening.</t>
  </si>
  <si>
    <t>O hardening de sistemas é uma prática essencial para reduzir a superfície de ataque e proteger contra ameaças. Desabilitar serviços e funcionalidades não essenciais, junto com a aplicação de configurações de segurança recomendadas, como as encontradas nos CIS Benchmarks, minimiza as vulnerabilidades e fortalece a segurança desde a base do sistema operacional e software.</t>
  </si>
  <si>
    <t>VIVO.SEGURA.APIS.001</t>
  </si>
  <si>
    <t>Todas as comunicações entre APIs e clientes devem ser protegidas por criptografia de transito que não permitam a interceptação do trafego. Comunicação entre ambientes distintos deve seguir regras de segurança, incluindo limitação de requisições, blocklist de IPs e inspeção de tráfego.</t>
  </si>
  <si>
    <t>O uso de criptografia em trânsito protege os dados contra interceptação e alteração, evitando vazamentos e fraudes. Sem essa proteção, informações sensíveis podem ser expostas, comprometendo a conformidade e a confiança do usuário. A limitação de requisições e blocklist reduzem o risco de ataques DDoS e acessos mal-intencionados, enquanto a inspeção de tráfego permite detectar ameaças em tempo real.</t>
  </si>
  <si>
    <t>Arquitetura de APIs</t>
  </si>
  <si>
    <t>Aplicável</t>
  </si>
  <si>
    <t>Impacto direto</t>
  </si>
  <si>
    <t>Impacto indireto</t>
  </si>
  <si>
    <t>Impacto Indireto</t>
  </si>
  <si>
    <t>Preventivo</t>
  </si>
  <si>
    <t>Documentação da arquitetura e evidências dos controles aplicados.</t>
  </si>
  <si>
    <t>Auditoria de aplicação/sistemas e/ou teste de penetração.</t>
  </si>
  <si>
    <t>Segurança para o Negócio (Leonardo Cassemiro)</t>
  </si>
  <si>
    <t>VIVO.SEGURA.APIS.002</t>
  </si>
  <si>
    <t>Identidades (Claudomiro Damaceno)</t>
  </si>
  <si>
    <t>VIVO.SEGURA.APIS.003</t>
  </si>
  <si>
    <t>Impaco indireto</t>
  </si>
  <si>
    <t>VIVO.SEGURA.APIS.004</t>
  </si>
  <si>
    <t xml:space="preserve">APIs devem validar todas as entradas de usuários e sistemas para evitar ataques de injeção (SQL Injection, XSS, entre outros), garantindo integridade e segurança dos dados. Isso inclui a implementação de validação rigorosa e sanitização de entradas, a utilização de consultas parametrizadas para prevenir SQL Injection, a implementação de medidas para prevenir XSS, e a adoção de práticas de segurança para prevenir outros tipos de injeção. </t>
  </si>
  <si>
    <t>VIVO.SEGURA.APIS.005</t>
  </si>
  <si>
    <t>Operacional Estratégico</t>
  </si>
  <si>
    <t>Auditoria de aplicação/sistemas.</t>
  </si>
  <si>
    <t>VIVO.SEGURA.APIS.006</t>
  </si>
  <si>
    <t>Imapcto indireto</t>
  </si>
  <si>
    <t>requisitos anteriores</t>
  </si>
  <si>
    <t>ID</t>
  </si>
  <si>
    <t>Propagação em massa Malware</t>
  </si>
  <si>
    <t>Roubo de identidade</t>
  </si>
  <si>
    <t>Intrusão com vazamento de dados do cliente</t>
  </si>
  <si>
    <t>Intrusão com Roubo de Informações Comerciais Estratégicas</t>
  </si>
  <si>
    <t>Invasão de aplicativos e sites</t>
  </si>
  <si>
    <t xml:space="preserve">Vulnerabilidades em CRMs </t>
  </si>
  <si>
    <t>Risco na Cadeia de Fornecimento</t>
  </si>
  <si>
    <t>Indisponibilidade dos sistemas de lojas</t>
  </si>
  <si>
    <t>Owner do requisito</t>
  </si>
  <si>
    <t>Responsável por implementar</t>
  </si>
  <si>
    <t>Tecnologias homologadas</t>
  </si>
  <si>
    <t>Modelos de referência</t>
  </si>
  <si>
    <t>Como fazer/Exemplos (IT)</t>
  </si>
  <si>
    <t>Impacto</t>
  </si>
  <si>
    <t>Probabilidade</t>
  </si>
  <si>
    <t>Criticidade</t>
  </si>
  <si>
    <t>Evidência</t>
  </si>
  <si>
    <t>Observação</t>
  </si>
  <si>
    <t>Requisito baseado em canais?</t>
  </si>
  <si>
    <t>CIS</t>
  </si>
  <si>
    <t>VIVO.SEGURA.001</t>
  </si>
  <si>
    <t>As aplicações devem garantir que todas as informações trafegadas na rede, independente do protocolo, sejam protegidas contra interceptação e/ou alteração por pessoas e/ou equipamentos não autorizados, implementando os meios tecnológicos adequados para esta proteção. A proteção aplicada não deve impossibilitar a inspeção do tráfego por soluções autorizadas pela equipe de segurança</t>
  </si>
  <si>
    <t>Sem criptografia, os dados trocados entre o front-end e a API podem ser interceptados e lidos por atacantes. A criptografia garante que apenas o destinatário correto possa acessar as informações, protegendo a confidencialidade dos dados.</t>
  </si>
  <si>
    <t>Se aplica diretamente</t>
  </si>
  <si>
    <t>Apoia a mitigação</t>
  </si>
  <si>
    <t>https://wikicorp.telefonica.com.br/pages/viewpage.action?pageId=458678564</t>
  </si>
  <si>
    <t>Imprescindível -&gt; não sobe sem</t>
  </si>
  <si>
    <t>CIS 13.1, 13.7</t>
  </si>
  <si>
    <t>VIVO.SEGURA.002</t>
  </si>
  <si>
    <t xml:space="preserve">A aplicação precisa prevenir mensagens de erro que permitam enumeração de usuários e/ou revelem informações importantes sobre o sistema </t>
  </si>
  <si>
    <t>Mensagens de erro que revelam se um usuário existe ou não podem ser usadas por atacantes para descobrir contas válidas. Isso facilita ataques de força bruta. Mensagens genéricas de erro evitam que os atacantes obtenham informações úteis.</t>
  </si>
  <si>
    <t>https://wikicorp.telefonica.com.br/pages/viewpage.action?pageId=458678555</t>
  </si>
  <si>
    <t>Obrigatório -&gt; Só entra com um controle paliativo</t>
  </si>
  <si>
    <t>CIS 18.10</t>
  </si>
  <si>
    <t>VIVO.SEGURA.003</t>
  </si>
  <si>
    <t>A aplicação precisa corrigir vulnerabilidades críticas antes da implantação em produção (CI/CD)</t>
  </si>
  <si>
    <t>Vulnerabilidades críticas não corrigidas podem ser exploradas assim que a aplicação for para produção, resultando em vazamento de dados, fraudes ou indisponibilidade. A correção antes da implantação garante que a aplicação esteja segura.</t>
  </si>
  <si>
    <t>CIS 16.13</t>
  </si>
  <si>
    <t>VIVO.SEGURA.004</t>
  </si>
  <si>
    <t>A aplicação não deve ser exposta diretamente a internet, deve ser segregada, por exemplo, utilizando uma DMZ</t>
  </si>
  <si>
    <t>A DMZ isola as aplicações acessíveis pela Internet do restante da rede interna. Isso reduz o risco de que um ataque bem-sucedido na aplicação comprometa toda a infraestrutura.</t>
  </si>
  <si>
    <t>CIS 12.8, 13.1</t>
  </si>
  <si>
    <t>VIVO.SEGURA.005</t>
  </si>
  <si>
    <t>A aplicação precisa implementar pinagem de certificado digital entre o client e o servidor</t>
  </si>
  <si>
    <t>O pinagem de certificado garante que apenas certificados confiáveis sejam aceitos, impedindo que atacantes usem certificados falsos para interceptar comunicações entre o client e o servidor.</t>
  </si>
  <si>
    <t>Não se aplica</t>
  </si>
  <si>
    <t>CIS 14.4</t>
  </si>
  <si>
    <t>VIVO.SEGURA.006</t>
  </si>
  <si>
    <t>As aplicações devem prover um mecanismo seguro para impedir ataques do tipo MitM (Man in the Middle) e garantir que tanto o servidor quanto o cliente (entendendo por cliente a aplicação acessando um servidor) de forma a gerar não repúdio</t>
  </si>
  <si>
    <t>A prevenção a ataques de MitM ajudam a inibir fraudes e vazamentos de dados dentro do escopo de comunicação das aplicações</t>
  </si>
  <si>
    <t>VIVO.SEGURA.007</t>
  </si>
  <si>
    <t>A aplicação deve ser capaz de ofuscar dados sensíveis para que seu consumo seja realizado apenas em sua real necessidade e escopo</t>
  </si>
  <si>
    <t>A ofuscação torna mais difícil para atacantes entenderem ou explorarem dados sensíveis, como chaves de API ou informações pessoais, mesmo que consigam acessá-los.</t>
  </si>
  <si>
    <t>VIVO.SEGURA.008</t>
  </si>
  <si>
    <t>A aplicação deve ter proteção contra ataques CSRF (Cross-Site Request Forgery) e configurar CORS (Cross Origin Resource Sharing) corretamente</t>
  </si>
  <si>
    <t>Ataques CSRF permitem que atacantes realizem ações em nome de um usuário sem seu consentimento. O CORS mal configurado pode permitir que sites maliciosos acessem recursos da aplicação.</t>
  </si>
  <si>
    <t>VIVO.SEGURA.009</t>
  </si>
  <si>
    <t>A aplicação precisa estar protegida com um Web Application Firewall (WAF) seguindo as políticas da companhia</t>
  </si>
  <si>
    <t>Um WAF filtra e bloqueia tráfego malicioso, como tentativas de injeção de código ou ataques de negação de serviço (DDoS). Sem ele, a aplicação fica exposta a ataques comuns e conhecidos.</t>
  </si>
  <si>
    <t>VIVO.SEGURA.010</t>
  </si>
  <si>
    <t>Antes de subir uma aplicação em produção é necessário executar um EHT (Pentest) e corrigir todos os riscos e vulnerabilidades encontradas</t>
  </si>
  <si>
    <t>O Pentest (teste de penetração) identifica falhas de segurança que podem ser exploradas por atacantes. Se essas falhas não forem corrigidas antes da produção, a aplicação pode ser comprometida, resultando em vazamento de dados, fraudes ou indisponibilidade. Corrigir os riscos garante que a aplicação esteja segura antes de ser disponibilizada para os usuários.</t>
  </si>
  <si>
    <t>VIVO.SEGURA.011</t>
  </si>
  <si>
    <t>As assinaturas digitais garantem que as mensagens não foram alteradas e vêm de uma fonte confiável. Sem elas, atacantes podem falsificar mensagens ou dados, comprometendo a integridade e a autenticidade das informações.</t>
  </si>
  <si>
    <t>VIVO.SEGURA.012</t>
  </si>
  <si>
    <t>A aplicação deve garantir que qualquer token de MFA (OTP, por exemplo), se aplicável, só possa ser usado uma única vez.</t>
  </si>
  <si>
    <t>CIS 6.5</t>
  </si>
  <si>
    <t>VIVO.SEGURA.013</t>
  </si>
  <si>
    <t>VIVO.SEGURA.014</t>
  </si>
  <si>
    <t>Qualquer solução que tenha escopo PCI DSS (Pagamento com cartão de crédito) deve ser integrado ao Bureau de prevenção a fraude</t>
  </si>
  <si>
    <t>A integração com o Bureau de prevenção a fraudes garante a análise de risco, verificação de identidade e análise de risco</t>
  </si>
  <si>
    <t xml:space="preserve">Prevenção a Fraudes </t>
  </si>
  <si>
    <t>VIVO.SEGURA.015</t>
  </si>
  <si>
    <t>Todas as aplicações precisam estar cadastradas e inventariadas no GovApp (aplicação de TI)</t>
  </si>
  <si>
    <t>As aplicações inventariadas no GovAPP garante a rastreabilidade e histórico das ferramentas no ambiente Vivo</t>
  </si>
  <si>
    <t>Desenvolvimento</t>
  </si>
  <si>
    <t xml:space="preserve">Security Governance &amp; Compliance </t>
  </si>
  <si>
    <t>VIVO.SEGURA.016</t>
  </si>
  <si>
    <t>Limite os métodos HTTP aceitos pela aplicação (ex.: GET e POST), bloqueando métodos desnecessários como PUT ou DELETE</t>
  </si>
  <si>
    <t>O uso indiscriminado de métodos HTTP como PUT, DELETE, TRACE ou CONNECT pode permitir a manipulação não autorizada de dados e funcionalidades sensíveis. A limitação aos métodos estritamente necessários (ex.: GET e POST) reduz a superfície de ataque e previne explorações como o Cross-Site Tracing (XST) ou métodos mal utilizados para sobrescrever informações.</t>
  </si>
  <si>
    <t>VIVO.SEGURA.017</t>
  </si>
  <si>
    <t xml:space="preserve">Implementar mecanismos de consentimento explicito para o tratamento de dados pessoais, quando exigido. </t>
  </si>
  <si>
    <t>Garante a transparência e conformidade com a LGPD, protegendo a integridade da experiência do usuário. A ausência de consentimento pode acarretar em responsabilizações legais e danos reputacionais, além de comprometer a integridade dos dados manipulados sem autorização do titular.</t>
  </si>
  <si>
    <t>Usuário ou agente</t>
  </si>
  <si>
    <t>Proteção de Dados (Gregory Isnardi)</t>
  </si>
  <si>
    <t>CIS 3.4</t>
  </si>
  <si>
    <t>VIVO.SEGURA.018</t>
  </si>
  <si>
    <t>Permitir que os clientes gerenciem seus próprios perfis, incluindo atualização de dados pessoais, dispositivos confiáveis e revogação de consentimentos.</t>
  </si>
  <si>
    <t xml:space="preserve">	Permitir que usuários atualizem seus próprios dados e revoguem consentimentos fortalece o controle sobre sua privacidade, conforme exigido pela LGPD. A ausência dessa funcionalidade pode levar à exposição indevida de informações desatualizadas ou revogadas, o que representa um risco de integridade e conformidade.</t>
  </si>
  <si>
    <t>VIVO.SEGURA.019</t>
  </si>
  <si>
    <t>Garantir que dados confidenciais armazenados no dispositvo sejam apagados da memória após o uso do App.</t>
  </si>
  <si>
    <t xml:space="preserve">	Dados críticos como tokens de sessão, credenciais ou informações pessoais devem ser eliminados da memória após o uso, para evitar que sejam acessados por processos maliciosos ou através de engenharia reversa. Isso reduz o risco de vazamento caso o dispositivo seja comprometido.</t>
  </si>
  <si>
    <t>Dispositivo de acesso</t>
  </si>
  <si>
    <t>VIVO.SEGURA.020</t>
  </si>
  <si>
    <t>Implementar mecanismos de redundância/tolerância a falha em processos de negócio críticos e indispensáveis na aplicação/canal</t>
  </si>
  <si>
    <t>A aplicação deve garantir alta disponibilidade para funcionalidades essenciais, evitando interrupções que afetem os serviços ao cliente. A ausência de mecanismos de tolerância a falhas pode causar impactos diretos na operação e gerar perdas financeiras e de imagem.</t>
  </si>
  <si>
    <t>Governança</t>
  </si>
  <si>
    <t xml:space="preserve">Security Operations &amp; Incident Management </t>
  </si>
  <si>
    <t>Governança (Gregory Isnardi)</t>
  </si>
  <si>
    <t>VIVO.SEGURA.021</t>
  </si>
  <si>
    <t>CIS 13.1</t>
  </si>
  <si>
    <t>VIVO.SEGURA.022</t>
  </si>
  <si>
    <t>VIVO.SEGURA.023</t>
  </si>
  <si>
    <t>VIVO.SEGURA.024</t>
  </si>
  <si>
    <t>VIVO.SEGURA.025</t>
  </si>
  <si>
    <t>VIVO.SEGURA.026</t>
  </si>
  <si>
    <t>VIVO.SEGURA.027</t>
  </si>
  <si>
    <t>VIVO.SEGURA.028</t>
  </si>
  <si>
    <t>VIVO.SEGURA.029</t>
  </si>
  <si>
    <t>Realizar periodicamente auditorias de configurações e implementar ferramentas de monitoramento de conformidade, com automação na configuração.</t>
  </si>
  <si>
    <t>Maffei</t>
  </si>
  <si>
    <t>VIVO.SEGURA.030</t>
  </si>
  <si>
    <t>O banco de dados deve implementar criptografia em repouso para proteger as informações sensiveis.</t>
  </si>
  <si>
    <t>VIVO.SEGURA.031</t>
  </si>
  <si>
    <t>Garantir a implementação de rotinas de atualizações de patches de segurança e monitoramento continuo de ameaças, impedindo a exploração de vulnerabilidades</t>
  </si>
  <si>
    <t>VIVO.SEGURA.032</t>
  </si>
  <si>
    <t>Todo e qualquer consumo ao banco de dados deve passar por uma camada de orquestração (API Gateway ou barramento, por exemplo). O banco não deve ser exposto diretamente.</t>
  </si>
  <si>
    <t>VIVO.SEGURA.033</t>
  </si>
  <si>
    <t>Registrar logs de acesso, alterações e consultas sensíveis para detectar atividades suspeitas.</t>
  </si>
  <si>
    <t>Threat Huting (Marcos Cester)</t>
  </si>
  <si>
    <t>CIS 8.1</t>
  </si>
  <si>
    <t>VIVO.SEGURA.034</t>
  </si>
  <si>
    <t>VIVO.SEGURA.035</t>
  </si>
  <si>
    <t>Integrar o Tenant à ferramenta corporativa de CNAPP com as funções de CSPM e CWPP para garantir a segurança contínua.</t>
  </si>
  <si>
    <t>O uso de um CNAPP (Cloud-Native Application Protection Platform) é importante porque oferece proteção completa para aplicações e infraestruturas na nuvem, combinando várias funções de segurança, como monitoramento de configurações, detecção de ameaças, proteção de dados e conformidade, em uma única solução.</t>
  </si>
  <si>
    <t>Cloud AJUSTAR</t>
  </si>
  <si>
    <t>VIVO.SEGURA.036</t>
  </si>
  <si>
    <t>Qualquer exceção no ambiente de Cloud deve seguir o processo de exceções estabelecido por governança</t>
  </si>
  <si>
    <t>A governança em cloud é importante para garantir que o uso da nuvem seja seguro, eficiente e alinhado com os objetivos da empresa, estabelecendo regras e práticas para gerenciar recursos, controlar custos, proteger dados e garantir conformidade com normas legais.</t>
  </si>
  <si>
    <t>VIVO.SEGURA.037</t>
  </si>
  <si>
    <t>O Contrato do ativo de informação precisa possuir, obrigatoriamente, o anexo “Requisitos de Segurança para Contratadas”</t>
  </si>
  <si>
    <t>Importante para apontar em tempo de contratatação todos os requisitos e normativas que precisam ser seguidas</t>
  </si>
  <si>
    <t>Contrato</t>
  </si>
  <si>
    <t>VIVO.SEGURA.038</t>
  </si>
  <si>
    <t>O ambiente/infraestrutura precisa possuir certificação ISO27001, PCI etc. (a depender do escopo)</t>
  </si>
  <si>
    <t>Garante que o ambiente estará complicance com importantes normas, a depender do escopo de atuação</t>
  </si>
  <si>
    <t>VIVO.SEGURA.039</t>
  </si>
  <si>
    <t>AppSec (Rafael Rosa)</t>
  </si>
  <si>
    <t>VIVO.SEGURA.040</t>
  </si>
  <si>
    <t>Realizar análise estática de código (SAST ) – Corrigir itens Críticos e Altos</t>
  </si>
  <si>
    <t>VIVO.SEGURA.041</t>
  </si>
  <si>
    <t>Realizar análise dinâmica de código (DAST)  – Corrigir itens Críticos e Altos</t>
  </si>
  <si>
    <t>VIVO.SEGURA.042</t>
  </si>
  <si>
    <t>VIVO.SEGURA.043</t>
  </si>
  <si>
    <t>Realizar análise de componentes de terceiro (SCA) - Corrigir itens Críticos e Altos</t>
  </si>
  <si>
    <t>VIVO.SEGURA.044</t>
  </si>
  <si>
    <t>VIVO.SEGURA.045</t>
  </si>
  <si>
    <t>VIVO.SEGURA.046</t>
  </si>
  <si>
    <t>Para os casos de entrega via CI/CD garantir que os scans de segurança sejam entregue, assim como Guardrails de segurança que previnem vulnerabilidades críticas e altas de código vá para produção.</t>
  </si>
  <si>
    <t>VIVO.SEGURA.047</t>
  </si>
  <si>
    <t>VIVO.SEGURA.048</t>
  </si>
  <si>
    <t>VIVO.SEGURA.049</t>
  </si>
  <si>
    <t>VIVO.SEGURA.050</t>
  </si>
  <si>
    <t>VIVO.SEGURA.051</t>
  </si>
  <si>
    <t>VIVO.SEGURA.052</t>
  </si>
  <si>
    <t>VIVO.SEGURA.053</t>
  </si>
  <si>
    <t>VIVO.SEGURA.054</t>
  </si>
  <si>
    <t>VIVO.SEGURA.055</t>
  </si>
  <si>
    <t>VIVO.SEGURA.056</t>
  </si>
  <si>
    <t>VIVO.SEGURA.057</t>
  </si>
  <si>
    <t>VIVO.SEGURA.058</t>
  </si>
  <si>
    <t>Terminantemente proibido deixar credênciais armazenadas em código (hard-code), assim como em variáveis de ambiente.</t>
  </si>
  <si>
    <t>VIVO.SEGURA.059</t>
  </si>
  <si>
    <t>Utilizar controles de versão e armazenar o código em repositórios homologados pela VIVO.</t>
  </si>
  <si>
    <t xml:space="preserve">Utilizar repositórios aprovados garante rastreabilidade, integridade e proteção contra código malicioso. Evita o uso de repositórios não confiáveis que podem ser comprometidos e expor segredos ou dados sensíveis inadvertidamente.
</t>
  </si>
  <si>
    <t>VIVO.SEGURA.060</t>
  </si>
  <si>
    <t>Adotar mecanismos de recuperação de contas seguros e autoatendimento, incluindo validação adicional, como envio de códigos por e-mail ou SMS para minimizar dependência do suporte ao cliente</t>
  </si>
  <si>
    <t xml:space="preserve">Reduz riscos de tomada de conta (Account Takeover) ao exigir validações extras durante a recuperação. A ausência de múltiplos fatores pode permitir que invasores acessem contas por engenharia social ou vazamento de credenciais.
</t>
  </si>
  <si>
    <t>Gestão de acessos</t>
  </si>
  <si>
    <t>VIVO.SEGURA.061</t>
  </si>
  <si>
    <t>Gestão de perfis</t>
  </si>
  <si>
    <t>VIVO.SEGURA.062</t>
  </si>
  <si>
    <t>apoia a mitigação</t>
  </si>
  <si>
    <t>VIVO.SEGURA.063</t>
  </si>
  <si>
    <t>VIVO.SEGURA.064</t>
  </si>
  <si>
    <t>VIVO.SEGURA.065</t>
  </si>
  <si>
    <t>VIVO.SEGURA.066</t>
  </si>
  <si>
    <t>VIVO.SEGURA.067</t>
  </si>
  <si>
    <t>VIVO.SEGURA.068</t>
  </si>
  <si>
    <t>VIVO.SEGURA.069</t>
  </si>
  <si>
    <t>O Sistema deve notificar o usuário após uma ação de redefinição, reset ou alteração de senha</t>
  </si>
  <si>
    <t>Gestão de Senhas</t>
  </si>
  <si>
    <t>VIVO.SEGURA.070</t>
  </si>
  <si>
    <t>VIVO.SEGURA.071</t>
  </si>
  <si>
    <t>VIVO.SEGURA.072</t>
  </si>
  <si>
    <t>VIVO.SEGURA.073</t>
  </si>
  <si>
    <t>VIVO.SEGURA.074</t>
  </si>
  <si>
    <t>As senhas devem ser armazenadas de forma segura segura na aplicação, de forma que não seja possível nem um ator conseguir a leitura em texto claro da senha</t>
  </si>
  <si>
    <t>VIVO.SEGURA.075</t>
  </si>
  <si>
    <t>Garantir que as credenciais dos clientes sejam armazenadas com algoritmos robustos de hash e salting</t>
  </si>
  <si>
    <t>Evita o vazamento de senhas em caso de acesso indevido ao banco de dados. Algoritmos modernos com salting previnem ataques de dicionário e rainbow tables. Armazenar senhas sem criptografia ou com algoritmos obsoletos representa risco grave à confidencialidade e integridade.</t>
  </si>
  <si>
    <t>VIVO.SEGURA.076</t>
  </si>
  <si>
    <t>Garantir conformidade com a legislação a LGPD na coleta de dados, apresentando sempre que necessario, os termos de privacidade e uso dos dados.</t>
  </si>
  <si>
    <t>A transparência e consentimento na coleta de dados garante confiança do cliente e evita multas regulatórias. O não cumprimento pode gerar sanções e danos de imagem.</t>
  </si>
  <si>
    <t>VIVO.SEGURA.077</t>
  </si>
  <si>
    <t>Mapear e documentar ativos críticos essenciais para operação da aplicação/canal incluindo dependências e responsáveis associados</t>
  </si>
  <si>
    <t>Conhecer os ativos críticos e suas dependências é essencial para planejar medidas de proteção e continuidade. A falta desse mapeamento pode resultar em falhas na resposta a incidentes ou em indisponibilidade de serviços sem diagnóstico claro.</t>
  </si>
  <si>
    <t>VIVO.SEGURA.078</t>
  </si>
  <si>
    <t>Mapear e documentar processos de negócio críticos e indispensáveis na aplicação/canal  incluindo dependências e responsáveis associados</t>
  </si>
  <si>
    <t>Compreender os processos de negócio indispensáveis permite priorizar recursos em incidentes e implementar proteções adequadas. A não documentação pode atrasar a resposta a falhas e comprometer a operação.</t>
  </si>
  <si>
    <t>VIVO.SEGURA.079</t>
  </si>
  <si>
    <t>Implementar mecanismos de redundância/tolerância a falha para ativos críticos essenciais à continuidade operacional</t>
  </si>
  <si>
    <t>Ativos essenciais, como bancos de dados ou serviços core, devem possuir planos de continuidade. A ausência de redundância pode levar à paralisação total de operações.</t>
  </si>
  <si>
    <t>VIVO.SEGURA.080</t>
  </si>
  <si>
    <t>Desenvolver e manter um Plano de Continuidade de Negócios (BCP) documentado, que inclua procedimentos para garantir a continuidade das operações críticas durante interrupções</t>
  </si>
  <si>
    <t>Um BCP documentado assegura que a organização esteja preparada para manter operações durante eventos de crise, minimizando impactos. A falta de plano compromete a capacidade de reação da empresa.</t>
  </si>
  <si>
    <t>VIVO.SEGURA.081</t>
  </si>
  <si>
    <t>Estabelecer processo de recuperação de desastres, com papéis e responsabilidades claramente definidos, que assegurem a restauração rápida e segura das operações críticas</t>
  </si>
  <si>
    <t>Garante o retorno rápido e seguro das operações críticas após incidentes. A ausência desse processo aumenta o tempo de inatividade e a exposição a perdas.</t>
  </si>
  <si>
    <t>VIVO.SEGURA.082</t>
  </si>
  <si>
    <t>Garantir que os dados críticos sejam regularmente respaldados e que os backups estejam acessíveis em caso de falha ou desastre</t>
  </si>
  <si>
    <t>Realizar backups periódicos protege contra perda de dados em desastres, ataques de ransomware ou falhas técnicas. A não realização compromete a continuidade e recuperação de serviços.</t>
  </si>
  <si>
    <t>VIVO.SEGURA.083</t>
  </si>
  <si>
    <t>Estabelecer canais de comunicação coordenados para informar stakeholders internos e externos durante crises</t>
  </si>
  <si>
    <t>Ter canais coordenados garante resposta rápida e transparente durante incidentes, reduzindo boatos e desinformação. A falta de comunicação pode agravar a crise e gerar perda de confiança.</t>
  </si>
  <si>
    <t>VIVO.SEGURA.084</t>
  </si>
  <si>
    <t>Revisar e realizar testes periodicos nos planos de continuidade de negócio, para verificar sua eficácia e identificar melhorias necessárias em decorrencia de mudanças no ambiente operacional ou tecnológico.</t>
  </si>
  <si>
    <t xml:space="preserve">	Validar na prática os planos de continuidade permite identificar falhas e adaptar às mudanças operacionais. Sem testes, o plano pode falhar quando mais necessário.</t>
  </si>
  <si>
    <t>VIVO.SEGURA.085</t>
  </si>
  <si>
    <t>Garantir que contratos com terceiros incluam cláusulas sobre proteção de dados e privacidade</t>
  </si>
  <si>
    <t>Contratos com terceiros devem prever responsabilidades de segurança e privacidade, para garantir a proteção de dados sob a cadeia de responsabilidade da empresa. A ausência pode abrir brechas legais e técnicas.</t>
  </si>
  <si>
    <t>VIVO.SEGURA.086</t>
  </si>
  <si>
    <t>Manter documentação de toda aplicação que inclua desenho de arquitetura de solução (DAS), fluxo de dados e design de jornadas.</t>
  </si>
  <si>
    <t>A documentação clara e atualizada da arquitetura da solução garante rastreabilidade e facilita auditorias técnicas e de compliance. A falta de documentação pode levar a cenários de repúdio, onde não é possível comprovar decisões técnicas ou fluxos de dados, impactando a governança e a conformidade regulatória.</t>
  </si>
  <si>
    <t>VIVO.SEGURA.087</t>
  </si>
  <si>
    <t xml:space="preserve">Arquitetura da aplicação, tal como novas jornadas devem ser avaliadas pela equipe de arquitetura segurança digital, com registro de solicitação através do Jira ARQSG com parecer emitido. </t>
  </si>
  <si>
    <t>Submeter alterações estruturais ao crivo da arquitetura de segurança evita que brechas sejam introduzidas sem conhecimento da área responsável. Sem esse controle, pode haver decisões não rastreáveis ou não justificadas tecnicamente, levando a riscos regulatórios e dificuldade em atribuir responsabilidades (repúdio).</t>
  </si>
  <si>
    <t>VIVO.SEGURA.088</t>
  </si>
  <si>
    <t xml:space="preserve">Submeter a avaliação do DPO projetos, iniciativas, novas jornadas que transfira, manipule e processe dados pessoais e pessoais sensiveis com registro de solicitação e parecer emitido.  </t>
  </si>
  <si>
    <t>Qualquer tratamento de dados pessoais e sensíveis deve ser previamente avaliado para garantir aderência à LGPD e outros regulamentos. A ausência desse processo pode resultar em tratamento indevido de dados, dificultando a responsabilização em caso de violação e aumentando o risco de sanções regulatórias.</t>
  </si>
  <si>
    <t>VIVO.SEGURA.089</t>
  </si>
  <si>
    <t>Estabelecer e manter processo interno de correção de vulnerabilidades que endereçe as mesmas em uma esteira de analise, correção e apresentação de resultados.</t>
  </si>
  <si>
    <t>Ter um processo formal para tratamento de vulnerabilidades garante que falhas identificadas sejam resolvidas em tempo hábil, com rastreabilidade das ações tomadas. Sem esse processo, há risco de repúdio — por não ser possível demonstrar que a vulnerabilidade foi conhecida e tratada — além de riscos de segurança técnica.</t>
  </si>
  <si>
    <t>VIVO.SEGURA.090</t>
  </si>
  <si>
    <t xml:space="preserve">Realizar exercicios regulares de testes de penetração para validar a robustez de controles de segurança  </t>
  </si>
  <si>
    <t>Testes de penetração simulam ataques reais e ajudam a identificar falhas que não foram detectadas por scans automatizados. A realização periódica é essencial para validar se os controles aplicados permanecem eficazes. A não realização dificulta a defesa em casos de incidentes e compromete a responsabilidade sobre a segurança do ambiente.</t>
  </si>
  <si>
    <t>VIVO.SEGURA.091</t>
  </si>
  <si>
    <t>I.A</t>
  </si>
  <si>
    <t>LLM06:2025 Excessive Agency</t>
  </si>
  <si>
    <t>VIVO.SEGURA.092</t>
  </si>
  <si>
    <t>LLM03:2025 Supply Chain</t>
  </si>
  <si>
    <t>VIVO.SEGURA.093</t>
  </si>
  <si>
    <t>LLM01:2025 Prompt Injection</t>
  </si>
  <si>
    <t>VIVO.SEGURA.094</t>
  </si>
  <si>
    <t>A falta de aprendizado federado pode expor dados sensíveis a riscos de privacidade, violando regulamentações como LGPD e GDPR. A centralização de dados aumenta o risco de vazamentos e ataques cibernéticos, comprometendo informações confidenciais dos usuários.</t>
  </si>
  <si>
    <t>LLM04: Data and Model Poisoning/LLM02:2025 Sensitive Information Disclosure</t>
  </si>
  <si>
    <t>VIVO.SEGURA.095</t>
  </si>
  <si>
    <t>Sem privacidade diferencial, os modelos de IA ficam vulneráveis a ataques de extração de dados e inferência de associação, onde atacantes podem reconstruir informações privadas dos conjuntos de treinamento.</t>
  </si>
  <si>
    <t>VIVO.SEGURA.096</t>
  </si>
  <si>
    <t>VIVO.SEGURA.097</t>
  </si>
  <si>
    <t>LLM10:2025 Unbounded Consumption</t>
  </si>
  <si>
    <t>VIVO.SEGURA.098</t>
  </si>
  <si>
    <t>VIVO.SEGURA.099</t>
  </si>
  <si>
    <t>LLM05:2025 Improper Output Handling</t>
  </si>
  <si>
    <t>VIVO.SEGURA.100</t>
  </si>
  <si>
    <t>VIVO.SEGURA.101</t>
  </si>
  <si>
    <t>LLM04: Data and Model Poisoning</t>
  </si>
  <si>
    <t>VIVO.SEGURA.102</t>
  </si>
  <si>
    <t>LLM01:2025 Prompt Injection - LLM02:2025 Sensitive Information Disclosure</t>
  </si>
  <si>
    <t>VIVO.SEGURA.103</t>
  </si>
  <si>
    <t>VIVO.SEGURA.104</t>
  </si>
  <si>
    <t>VIVO.SEGURA.105</t>
  </si>
  <si>
    <t>VIVO.SEGURA.106</t>
  </si>
  <si>
    <t>VIVO.SEGURA.107</t>
  </si>
  <si>
    <t>VIVO.SEGURA.108</t>
  </si>
  <si>
    <t>VIVO.SEGURA.109</t>
  </si>
  <si>
    <t>VIVO.SEGURA.110</t>
  </si>
  <si>
    <t>VIVO.SEGURA.111</t>
  </si>
  <si>
    <t>VIVO.SEGURA.112</t>
  </si>
  <si>
    <t>VIVO.SEGURA.113</t>
  </si>
  <si>
    <t>VIVO.SEGURA.114</t>
  </si>
  <si>
    <t>VIVO.SEGURA.115</t>
  </si>
  <si>
    <t>VIVO.SEGURA.116</t>
  </si>
  <si>
    <t>VIVO.SEGURA.117</t>
  </si>
  <si>
    <t>VIVO.SEGURA.118</t>
  </si>
  <si>
    <t>VIVO.SEGURA.119</t>
  </si>
  <si>
    <t>VIVO.SEGURA.120</t>
  </si>
  <si>
    <t>VIVO.SEGURA.121</t>
  </si>
  <si>
    <t>VIVO.SEGURA.122</t>
  </si>
  <si>
    <t>Limitar a criação de compartilhamento diretamente ao relatorio e não a assinatura do serviço</t>
  </si>
  <si>
    <t>Power BI</t>
  </si>
  <si>
    <t>VIVO.SEGURA.123</t>
  </si>
  <si>
    <t>VIVO.SEGURA.124</t>
  </si>
  <si>
    <t>Limitar a exibição unicamente a aba do relatório que esteja estritamente definida no escopo definido no projeto.</t>
  </si>
  <si>
    <t>VIVO.SEGURA.125</t>
  </si>
  <si>
    <t>Limitar a  criação de conteúdo pelo destinatário baseada no relatório compartilhado.</t>
  </si>
  <si>
    <t>VIVO.SEGURA.126</t>
  </si>
  <si>
    <t>O uso do UTC garante que os logs tenham um padrão universal de data e hora, evitando inconsistências em sistemas distribuídos ou em diferentes fusos horários. Isso facilita a análise e correlação de eventos em ambientes globais.</t>
  </si>
  <si>
    <t>VIVO.SEGURA.127</t>
  </si>
  <si>
    <t>O responsável pelo projeto deve planejar e arcar com os custos relacionados aos logs, como armazenamento e processamento. Isso garante que os logs sejam mantidos conforme necessário, sem sobrecarregar outros times ou áreas.</t>
  </si>
  <si>
    <t>VIVO.SEGURA.128</t>
  </si>
  <si>
    <t>Logs de aplicações SoX (Sarbanes-Oxley) devem ser enviados ao SIEM sem alterações para garantir a integridade e a auditoria dos dados. Modificações podem comprometer a confiabilidade das informações, afetando a conformidade com regulamentações.</t>
  </si>
  <si>
    <t>VIVO.SEGURA.129</t>
  </si>
  <si>
    <t>Logs com dados sensíveis gerados por aplicações devem ser mascaramento pela aplicação. Para a coleta de logs em outros recursos, é necessário que haja o mascaramento de dados sensíveis.</t>
  </si>
  <si>
    <t>O mascaramento de dados sensíveis (como CPF, números de cartão de crédito) protege a privacidade e evita vazamentos. Se os logs não forem mascarados, informações confidenciais podem ser expostas em caso de acesso não autorizado.</t>
  </si>
  <si>
    <t>VIVO.SEGURA.130</t>
  </si>
  <si>
    <t>A aplicação deve ser configurada para enviar logs de segurança e SoX ao SIEM de forma adequada. Isso garante que todos os eventos relevantes sejam monitorados e auditados, cumprindo requisitos de conformidade.</t>
  </si>
  <si>
    <t>VIVO.SEGURA.131</t>
  </si>
  <si>
    <t>O armazenamento de logs por 1 ano é necessário para atender a requisitos regulatórios, como a lei Sarbanes-Oxley. Sem isso, a empresa pode enfrentar penalidades ou problemas em auditorias.</t>
  </si>
  <si>
    <t>VIVO.SEGURA.132</t>
  </si>
  <si>
    <t>A integração via JSON ou API REST facilita o consumo dos logs pelo SIEM. A ausência de criptografia no payload é necessária para que o SIEM possa processar os dados, mas o trânsito dos logs deve ser protegido por TLS.</t>
  </si>
  <si>
    <t>VIVO.SEGURA.133</t>
  </si>
  <si>
    <t>A criptografia durante o trânsito protege os logs contra interceptação por atacantes. Sem TLS 1.3, os dados podem ser capturados e lidos, comprometendo a segurança e a privacidade das informações.</t>
  </si>
  <si>
    <t>VIVO.SEGURA.134</t>
  </si>
  <si>
    <t>O controle de acesso garante que apenas pessoas autorizadas possam acessar os logs. A gestão centralizada pelo time de identidades evita permissões excessivas ou acessos indevidos, reduzindo o risco de vazamentos.</t>
  </si>
  <si>
    <t>VIVO.SEGURA.135</t>
  </si>
  <si>
    <t>As trilhas de eventos detalhados são essenciais para auditorias e conformidade com a lei Sarbanes-Oxley. Sem elas, a empresa não consegue comprovar a integridade e a segurança dos processos.</t>
  </si>
  <si>
    <t>VIVO.SEGURA.136</t>
  </si>
  <si>
    <t>Todo e qualquer custo referente a log (ingestão; consumo)  precisa ser mensurado e considerado na etapa inicial do projeto durante a definição do orçamento. As trilhas de segurança fazem parte dos requisitos e os projetos precisam garantir que estejam habilitadas nos padrões definidos. </t>
  </si>
  <si>
    <t>Os custos de logs devem ser planejados desde o início para evitar surpresas no orçamento. As trilhas de segurança são obrigatórias e garantem a visibilidade e a rastreabilidade dos eventos.</t>
  </si>
  <si>
    <t>Infrastructure Security</t>
  </si>
  <si>
    <t>VIVO.SEGURA.137</t>
  </si>
  <si>
    <t>Tanto as aplicações quanto os recursos da nuvem devem gerar logs de segurança. Isso garante a cobertura completa de eventos, permitindo a detecção e a resposta a incidentes de forma eficiente.</t>
  </si>
  <si>
    <t>VIVO.SEGURA.138</t>
  </si>
  <si>
    <t>A configuração correta dos recursos da nuvem e o desenvolvimento adequado da aplicação garantem que os logs sejam gerados e coletados conforme necessário. Sem isso, eventos críticos podem passar despercebidos, aumentando o risco de incidentes.</t>
  </si>
  <si>
    <t>VIVO.SEGURA.139</t>
  </si>
  <si>
    <t>Toda comunicação com o cliente final deve ser realizada sem a utilização de links redirecionando alguma aplicação específica. Se for o caso, a mensagem deve apenas indicar o uso de algum dos canais digitais da Vivo, mas sem utilizar-se de links.</t>
  </si>
  <si>
    <t>Essencial para evitar ataques de phishing e garantir que a comunicação oficial seja segura. Impacta diretamente a confiança do cliente e a integridade das comunicações.</t>
  </si>
  <si>
    <t>RCS/E-mail/SMS</t>
  </si>
  <si>
    <t>VIVO.SEGURA.140</t>
  </si>
  <si>
    <t>Faturas não devem ser compartilhadas via ferramenta de SMS</t>
  </si>
  <si>
    <t>Importante para evitar exposição indevida de informações sensíveis. Reduz risco de engenharia social e vazamento de dados.</t>
  </si>
  <si>
    <t>VIVO.SEGURA.141</t>
  </si>
  <si>
    <t>Qualquer comunicação ao cliente em cenários de comunicação via e-mail e/ou SMS devem seguir padrões rígidos da Vivo (logo, fontes e etc) a fim de garantir uma identificação do cliente final.</t>
  </si>
  <si>
    <t>Garante autenticidade e evita fraudes baseadas em engenharia social. Impacta diretamente a segurança do usuário final.</t>
  </si>
  <si>
    <t>Prevenção a Fraudes</t>
  </si>
  <si>
    <t>VIVO.SEGURA.142</t>
  </si>
  <si>
    <t xml:space="preserve">O envio e utilização de ferramentas como RCS/Whatsapp deve seguir padrões rigidos de gestão de acesso e autenticação. O projeto deve seguir os itens que estão nos componentes grupo de "Gestão de acesso" e "APIs", conforme a necessidade exigida </t>
  </si>
  <si>
    <t>Importante para reduzir riscos de acesso não autorizado e evitar comprometimento de credenciais. Impacto direto na integridade dos acessos e comunicações.</t>
  </si>
  <si>
    <t>VIVO.SEGURA.143</t>
  </si>
  <si>
    <t>O acesso a aplicação de disparo de e-mail/SMS/RCS precisa necessariamente ser restrito dentro do ambiente Vivo, para diminuição do risco de exfiltração de dados. Usuários comuns não devem ter acesso ao uso de ferramentas como Whatsapp e/ou Google Menssenger, por exemplo</t>
  </si>
  <si>
    <t>Essencial para mitigar riscos de vazamento de dados e controle de informações sensíveis. Impacto direto na confidencialidade dos dados.</t>
  </si>
  <si>
    <t>VIVO.SEGURA.144</t>
  </si>
  <si>
    <t>Acessos devem ser restritos a público de callcenter via ferramenta de virtualização (como Citrix e outros)</t>
  </si>
  <si>
    <t>Reduz riscos de acesso não autorizado e exposição de dados sensíveis em ambientes externos. Impacto na conformidade e segurança operacional.</t>
  </si>
  <si>
    <t>Security Operations &amp; Incident Management</t>
  </si>
  <si>
    <t>Quilson Ajustar</t>
  </si>
  <si>
    <t>VIVO.SEGURA.145</t>
  </si>
  <si>
    <t>Ferramentas de RCS, Whatsapp e/ou SMS não devem trafegar dados de clientes (ex: Faturas, boletos) através de arquivos, mensagens e/ou imagens. Exceto fluxos de excessão alinhados com SD e Fraudes.</t>
  </si>
  <si>
    <t>Importante para evitar vazamento de dados sensíveis e mitigar riscos de interceptação de informações. Impacto na privacidade e segurança do cliente.</t>
  </si>
  <si>
    <t>VIVO.SEGURA.146</t>
  </si>
  <si>
    <t>Toda comunicação originária da internet deve garantir que o API Gateway, só poderá aceitar requisições externas das soluções de WAF definidas pela companhia (ex: Akamai e/ou CloudFlare)</t>
  </si>
  <si>
    <t>Redes e Comunicação</t>
  </si>
  <si>
    <t>VIVO.SEGURA.147</t>
  </si>
  <si>
    <t>VIVO.SEGURA.148</t>
  </si>
  <si>
    <t>VIVO.SEGURA.149</t>
  </si>
  <si>
    <t xml:space="preserve">O sistema/aplicação/ativo precisa estar integrado ao nosso CMDB, garantindo a centralização dos ativos no inventário oficial </t>
  </si>
  <si>
    <t>VIVO.SEGURA.150</t>
  </si>
  <si>
    <t>VIVO.SEGURA.151</t>
  </si>
  <si>
    <t>VIVO.SEGURA.152</t>
  </si>
  <si>
    <t>VIVO.SEGURA.153</t>
  </si>
  <si>
    <t>VIVO.SEGURA.154</t>
  </si>
  <si>
    <t>A rede deve possuir segmentação para diferentes contextos e garantir que a comunicação do trafégo passe por pontos de controles que garantam revalidação contínua (com validações e autenticações)</t>
  </si>
  <si>
    <t>VIVO.SEGURA.155</t>
  </si>
  <si>
    <t>Garantir que serviços internos não tenham portas expostas diretamente para à internet</t>
  </si>
  <si>
    <t>VIVO.SEGURA.156</t>
  </si>
  <si>
    <t>VIVO.SEGURA.157</t>
  </si>
  <si>
    <t>Garantir a exposição privada para serviços de armazenamento e banco de dados, evitando exposição a redes publicas.</t>
  </si>
  <si>
    <t>VIVO.SEGURA.158</t>
  </si>
  <si>
    <t>Garantir a implementação de soluções  para inspeção e detecção de tráfego de rede</t>
  </si>
  <si>
    <t>VIVO.SEGURA.159</t>
  </si>
  <si>
    <t>RPAs precisam ter comprimento mínimo de senha de 12 caracteres alfanuméricos</t>
  </si>
  <si>
    <t>RPAs</t>
  </si>
  <si>
    <t>VIVO.SEGURA.160</t>
  </si>
  <si>
    <t>RPAs devem ter um período máximo de 30 dias para expiração de senha</t>
  </si>
  <si>
    <t>VIVO.SEGURA.161</t>
  </si>
  <si>
    <t>RPAs devem ter um histórico para impedir repetição das últimas 9 senhas</t>
  </si>
  <si>
    <t>VIVO.SEGURA.162</t>
  </si>
  <si>
    <t>RPAs não devem acessar APIs via RPA Screen Scraping, esse tipo de integração deve sempre ocorrer 
através do backend.</t>
  </si>
  <si>
    <t>VIVO.SEGURA.163</t>
  </si>
  <si>
    <t>VIVO.SEGURA.164</t>
  </si>
  <si>
    <t>O acesso de RPAS devem ser permitidos apenas para máquinas com certificado digital válido. Dessa forma, com validação de usuário, senha e certificado digital (MFA).</t>
  </si>
  <si>
    <t>VIVO.SEGURA.165</t>
  </si>
  <si>
    <t>O software de desenvolvimento dos RPAs deve estar homologado pela Vivo e possuir gestão de acessos adequada de acordo com o grupo de "Gestão de Acessos"</t>
  </si>
  <si>
    <t>VIVO.SEGURA.167</t>
  </si>
  <si>
    <t>VIVO.SEGURA.168</t>
  </si>
  <si>
    <t>O acesso a servidores deve exigir segundo fator de autenticação e a depender da criticidade, exigir o acesso via solução de PAM</t>
  </si>
  <si>
    <t xml:space="preserve">Device Security </t>
  </si>
  <si>
    <t>VIVO.SEGURA.169</t>
  </si>
  <si>
    <t>VIVO.SEGURA.170</t>
  </si>
  <si>
    <t>VIVO.SEGURA.171</t>
  </si>
  <si>
    <t>Garantir a implementação de RBAC/ABAC para restringir os acessos</t>
  </si>
  <si>
    <t>VIVO.SEGURA.172</t>
  </si>
  <si>
    <t>Implementar segmentação e microssegmentação de rede para limitar movimento lateral </t>
  </si>
  <si>
    <t>VIVO.SEGURA.173</t>
  </si>
  <si>
    <t>VIVO.SEGURA.174</t>
  </si>
  <si>
    <t>O servidor deverá estar integrado a uma solução de PAM para a gestão de chaves</t>
  </si>
  <si>
    <t>VIVO.SEGURA.175</t>
  </si>
  <si>
    <t>VIVO.SEGURA.176</t>
  </si>
  <si>
    <t>VIVO.SEGURA.177</t>
  </si>
  <si>
    <t>Todos os servidores devem possuir imagem de SO e BD padrão da companhia (com EDR, DLP, Antivírus, agente do SIEM e agente de Scan de Infra)</t>
  </si>
  <si>
    <t>VIVO.SEGURA.178</t>
  </si>
  <si>
    <t>VM's e contêineres devem ser submetidos a scans de vulnerabilidades, com correção obrigatória de vulnerabilidades críticas e altas.</t>
  </si>
  <si>
    <t>A análise contínua de VMs e contêineres permite detectar falhas que podem ser exploradas para escalonamento de privilégios. A exigência de correção obrigatória de falhas críticas e altas protege o ambiente contra acessos indevidos. A ausência desses scans e correções pode permitir que atacantes comprometam sistemas sensíveis, resultando em danos financeiros e vazamento de dados.</t>
  </si>
  <si>
    <t>VIVO.SEGURA.179</t>
  </si>
  <si>
    <t>Transferência segura de dados</t>
  </si>
  <si>
    <t>VIVO.SEGURA.180</t>
  </si>
  <si>
    <t>VIVO.SEGURA.181</t>
  </si>
  <si>
    <t>VIVO.SEGURA.182</t>
  </si>
  <si>
    <t>Para consumo de dados que necessitem de utilização de exposição do arquivos em portais, é ncessário implementar autenticação multifator (MFA) e modelos de acesso baseado em RBAC</t>
  </si>
  <si>
    <t>VIVO.SEGURA.183</t>
  </si>
  <si>
    <t>A transferência de dados e arquivos precisa necessáriamente gerar logs conforme descrito no componente de rastreabilidade</t>
  </si>
  <si>
    <t>VIVO.SEGURA.184</t>
  </si>
  <si>
    <t>VIVO.SEGURA.185</t>
  </si>
  <si>
    <t>VIVO.SEGURA.186</t>
  </si>
  <si>
    <t>VIVO.SEGURA.187</t>
  </si>
  <si>
    <t>VIVO.SEGURA.188</t>
  </si>
  <si>
    <t xml:space="preserve">Garantir a implementação de soluções de antivírus e monitoramento de endpoints (EDR) em todas as máquinas </t>
  </si>
  <si>
    <t>VIVO.SEGURA.189</t>
  </si>
  <si>
    <t>VIVO.SEGURA.190</t>
  </si>
  <si>
    <t>VIVO.SEGURA.191</t>
  </si>
  <si>
    <t>VIVO.SEGURA.192</t>
  </si>
  <si>
    <t>VIVO.SEGURA.193</t>
  </si>
  <si>
    <t>VIVO.SEGURA.194</t>
  </si>
  <si>
    <t>Desabilitar serviços não essenciais e usar configurações de segurança recomendadas (Ex.: Cis Benchmarks) no hardening</t>
  </si>
  <si>
    <t>Componentes</t>
  </si>
  <si>
    <t xml:space="preserve">Impacto </t>
  </si>
  <si>
    <t>Stride</t>
  </si>
  <si>
    <t>Aplicabilidade</t>
  </si>
  <si>
    <t>Arquiteturas de Sistemas de Informação</t>
  </si>
  <si>
    <t>Impacto - Risco - GCN</t>
  </si>
  <si>
    <t>Danos a Imagem</t>
  </si>
  <si>
    <t>Fraudes/Vazamento de dados</t>
  </si>
  <si>
    <t>Fraudes externa</t>
  </si>
  <si>
    <t>Acessos de parceiros/desenvolvedores</t>
  </si>
  <si>
    <t>Não aplicável</t>
  </si>
  <si>
    <t>Arquitetura APIs</t>
  </si>
  <si>
    <t>Danos Financeiros</t>
  </si>
  <si>
    <t>Disponibilidade</t>
  </si>
  <si>
    <t>Danos financeiros/Vazamento de dados</t>
  </si>
  <si>
    <t>Contenção</t>
  </si>
  <si>
    <t>Saúde do trabalho</t>
  </si>
  <si>
    <t>Riscos operacionais</t>
  </si>
  <si>
    <t>Impacto ambiental</t>
  </si>
  <si>
    <t>Data Streaming</t>
  </si>
  <si>
    <t>Fraudes internas/Riscos Operacionais</t>
  </si>
  <si>
    <t>A10:2021-Server-Side Request Forgery</t>
  </si>
  <si>
    <t xml:space="preserve">Dispositivos IoT e Edge Computing </t>
  </si>
  <si>
    <t xml:space="preserve">Supply Chain Security </t>
  </si>
  <si>
    <t>Microserviços</t>
  </si>
  <si>
    <t>Proteção de dados</t>
  </si>
  <si>
    <t>BI</t>
  </si>
  <si>
    <t>Prevenção a Fraude</t>
  </si>
  <si>
    <t>Definição</t>
  </si>
  <si>
    <t>Proteção da Aplicação</t>
  </si>
  <si>
    <t>Personificar algo ou outra pessoa.</t>
  </si>
  <si>
    <t>Modificar dados ou código</t>
  </si>
  <si>
    <t>Alegar não ter realizado uma ação.</t>
  </si>
  <si>
    <t>Expor informações a alguém não autorizado a vê-las</t>
  </si>
  <si>
    <t>R</t>
  </si>
  <si>
    <t>Non-repudiation</t>
  </si>
  <si>
    <t>Negar ou degradar o serviço aos usuários</t>
  </si>
  <si>
    <t>Obter recursos sem a autorização adequada</t>
  </si>
  <si>
    <t>I</t>
  </si>
  <si>
    <t>Confidentiality</t>
  </si>
  <si>
    <t>Retirar</t>
  </si>
  <si>
    <t>Gestão de continuidade de negócios</t>
  </si>
  <si>
    <t>D</t>
  </si>
  <si>
    <t>Availability</t>
  </si>
  <si>
    <t>E</t>
  </si>
  <si>
    <t>Least Privilege</t>
  </si>
  <si>
    <t>Descrição</t>
  </si>
  <si>
    <t>Categoria</t>
  </si>
  <si>
    <t>Garantir a proteção de dados sensíveis contra interceptação, evitando ataques como Man-in-the-Middle (MITM).</t>
  </si>
  <si>
    <t>LM</t>
  </si>
  <si>
    <t>Alterar mensagens de erro para evitar que invasores identifiquem a existência de usuários, mitigando ataques de força bruta.</t>
  </si>
  <si>
    <t>Proteger a aplicação com Web Application Firewall (WAF) – Definições de políticas Telefónica</t>
  </si>
  <si>
    <t>Implementar um WAF para bloquear ataques como SQL Injection e XSS, evitando comprometimentos na camada de aplicação.</t>
  </si>
  <si>
    <t>Garantir que falhas classificadas como altas ou críticas sejam resolvidas antes da liberação para produção, reduzindo riscos de exploração.</t>
  </si>
  <si>
    <t>Isolar sistemas críticos para evitar acessos diretos da Internet e reduzir riscos de invasões.</t>
  </si>
  <si>
    <t>Garantir que apenas certificados confiáveis sejam aceitos, prevenindo ataques MITM.</t>
  </si>
  <si>
    <t>Controlar tempo de sessão, restringir sessões simultâneas e validar sessões via Mutual TLS para evitar sequestro de sessão (Session Hijacking).</t>
  </si>
  <si>
    <t>Objetivos</t>
  </si>
  <si>
    <t>Impedir a exposição de informações como senhas e dados pessoais em caso de comprometimento da aplicação.</t>
  </si>
  <si>
    <t>PEGAR A BASE DE REQUISITOS COM VISAO SOJA</t>
  </si>
  <si>
    <t>Implementar proteção contra CSRF e configurar CORS para evitar execução de ações não autorizadas por terceiros.</t>
  </si>
  <si>
    <t>CRIAR UMA BASE DE REQUISITOS - FAZER CORRELAÇÕES EM TODOS OS FORMATOS</t>
  </si>
  <si>
    <t>EFETUAR AUTOMAÇÃO DOS INSUMOS DA FASE 2</t>
  </si>
  <si>
    <t xml:space="preserve">Sempre publicar serviços em arquitetura “Hub-Spoken”, estabelecidas durante cada Landingzone, com todas as proteções: IPS, WAF, Firewall, TLS, API Gateway etc. </t>
  </si>
  <si>
    <t>Publicação de Serviços</t>
  </si>
  <si>
    <t>Todos os serviços devem ser publicados na arquitetura “Hub-Spoken” com as proteções necessárias, incluindo IPS, WAF, Firewall, TLS, API Gateway, etc.</t>
  </si>
  <si>
    <t xml:space="preserve">A arquitetura deve seguir o modelo de segregação com NSG e ASG por funcionalidades. (Apresentação, Lógica de negócio, Persistência/Dados) </t>
  </si>
  <si>
    <t>Segregação da Arquitetura</t>
  </si>
  <si>
    <t>A arquitetura deve usar NSG e ASG para segregação das camadas: Apresentação, Lógica de Negócio e Persistência de Dados.</t>
  </si>
  <si>
    <t>O control plane deve seguir modelos de segurança com acesso condicional, MFA, Geolocalização e outros</t>
  </si>
  <si>
    <t>Control Plane</t>
  </si>
  <si>
    <t>Adotar um modelo de segurança no control plane com acesso condicional, MFA, geolocalização e outros controles de segurança.</t>
  </si>
  <si>
    <t>Política de Exposição de Portas</t>
  </si>
  <si>
    <t>Não permitir exposição de portas de serviços à internet (ex: 22, 1433, 3306, 3389, 5432, 6379, 8080, 27017, etc.).</t>
  </si>
  <si>
    <t>Especificar política a nível de organização para NÃO PERMITIR exposição na internet de interfaces administrativas de recursos de IaaS e PaaS, consoles e serviços, sejam via GUI ou CLI</t>
  </si>
  <si>
    <t>Política de Interfaces Administrativas</t>
  </si>
  <si>
    <t>Não permitir exposição de interfaces administrativas de IaaS e PaaS à internet, seja via GUI ou CLI.</t>
  </si>
  <si>
    <t>Política de Provisionamento de Endereços</t>
  </si>
  <si>
    <t>Não permitir provisionamento de endereços sem filtragem de origem, destino e serviço/porta.</t>
  </si>
  <si>
    <t>Se houver provisionamento de um storage account ou Database é necessário que haja private endpoint. Não permitimos storage ou database público</t>
  </si>
  <si>
    <t>Provisionamento de Storage e Banco de Dados</t>
  </si>
  <si>
    <t>Exigir uso de private endpoints para Storage Accounts e Databases, evitando serviços públicos.</t>
  </si>
  <si>
    <t>Em novas construções de Landing Zone considerar a implementação dos Guardrails (políticas de segurança da Vivo) a nível do novo Tenant</t>
  </si>
  <si>
    <t>Implementação de Guardrails em Novas Landing Zones</t>
  </si>
  <si>
    <t>Implementar Guardrails de segurança da Vivo em novas Landing Zones, alinhados com o novo Tenant.</t>
  </si>
  <si>
    <t>Integração com CNAPP</t>
  </si>
  <si>
    <t>As informações de Data e Hora obrigatoriamente precisam estar no modelo UTC (Coordinated Universal Time)</t>
  </si>
  <si>
    <t>Siebel</t>
  </si>
  <si>
    <t>Next</t>
  </si>
  <si>
    <t>Todo e qualquer custo de ingestão/armazenamento de logs é de responsabilidade do owner do projeto</t>
  </si>
  <si>
    <t>Registrar todas as solicitações recebidas e as respostas enviadas pela API, além de logs de autenticação/autorização, baseados no Marco Civil da Internet e logs de regulamentações (ex: SoX).</t>
  </si>
  <si>
    <t>Alta</t>
  </si>
  <si>
    <r>
      <t>A09: Logging and Monitoring Failures</t>
    </r>
    <r>
      <rPr>
        <sz val="7"/>
        <color rgb="FF172B4D"/>
        <rFont val="Segoe UI"/>
        <family val="2"/>
      </rPr>
      <t> - Falta de monitoramento adequado que compromete a detecção de ataques.</t>
    </r>
  </si>
  <si>
    <r>
      <t>Repudiation</t>
    </r>
    <r>
      <rPr>
        <sz val="7"/>
        <color rgb="FF172B4D"/>
        <rFont val="Segoe UI"/>
        <family val="2"/>
      </rPr>
      <t> - Impossibilidade de provar que uma ação foi realizada.</t>
    </r>
  </si>
  <si>
    <t>SIEM, Splunk, ELK Stack</t>
  </si>
  <si>
    <t>Logs com dados sensíveis gerados por aplicações devem ser mascarados pela aplicação. Coleta de logs em outros recursos, é necessário que haja o mascaramento de dados sensíveis.</t>
  </si>
  <si>
    <t>A solução deve permitir que os logs sejam enviados em tempo real ou near real time para centralizadores de logs usados pela equipe de Segurança Digital (ex: SIEM).</t>
  </si>
  <si>
    <t>Média</t>
  </si>
  <si>
    <r>
      <t>A09: Logging and Monitoring Failures</t>
    </r>
    <r>
      <rPr>
        <sz val="7"/>
        <color rgb="FF172B4D"/>
        <rFont val="Segoe UI"/>
        <family val="2"/>
      </rPr>
      <t> - Falha no envio ou coleta de logs em tempo real para identificar ataques.</t>
    </r>
  </si>
  <si>
    <t>SIEM, Splunk, ELK Stack </t>
  </si>
  <si>
    <t>Todas as requisições devem ser autenticadas e autorizadas de forma irrefutável, com revalidação contínua.</t>
  </si>
  <si>
    <r>
      <t>A01: Broken Access Control</t>
    </r>
    <r>
      <rPr>
        <sz val="7"/>
        <color rgb="FF172B4D"/>
        <rFont val="Segoe UI"/>
        <family val="2"/>
      </rPr>
      <t> - Falha no controle de acesso</t>
    </r>
  </si>
  <si>
    <r>
      <t>Spoofing</t>
    </r>
    <r>
      <rPr>
        <sz val="7"/>
        <color rgb="FF172B4D"/>
        <rFont val="Segoe UI"/>
        <family val="2"/>
      </rPr>
      <t>, </t>
    </r>
    <r>
      <rPr>
        <b/>
        <sz val="7"/>
        <color rgb="FF172B4D"/>
        <rFont val="Segoe UI"/>
        <family val="2"/>
      </rPr>
      <t>Elevation of Privilege</t>
    </r>
    <r>
      <rPr>
        <sz val="7"/>
        <color rgb="FF172B4D"/>
        <rFont val="Segoe UI"/>
        <family val="2"/>
      </rPr>
      <t> - Falsificação de identidade ou aumento indevido de privilégios.</t>
    </r>
  </si>
  <si>
    <t>API GTW, Istio</t>
  </si>
  <si>
    <t>No caso de aplicações e infraestrutura de sistemas caracterizados como SoX, os logs precisam ser armazenados por 1 ano</t>
  </si>
  <si>
    <t>Conectividade</t>
  </si>
  <si>
    <t>Capacidade de aplicar filtros por IP de origem para consumo de APIs (whitelist).</t>
  </si>
  <si>
    <r>
      <t>A05: Security Misconfiguration</t>
    </r>
    <r>
      <rPr>
        <sz val="7"/>
        <color rgb="FF172B4D"/>
        <rFont val="Segoe UI"/>
        <family val="2"/>
      </rPr>
      <t> - Configuração inadequada que permite acessos não autorizados.</t>
    </r>
  </si>
  <si>
    <r>
      <t>Tampering</t>
    </r>
    <r>
      <rPr>
        <sz val="7"/>
        <color rgb="FF172B4D"/>
        <rFont val="Segoe UI"/>
        <family val="2"/>
      </rPr>
      <t>, </t>
    </r>
    <r>
      <rPr>
        <b/>
        <sz val="7"/>
        <color rgb="FF172B4D"/>
        <rFont val="Segoe UI"/>
        <family val="2"/>
      </rPr>
      <t>Spoofing</t>
    </r>
    <r>
      <rPr>
        <sz val="7"/>
        <color rgb="FF172B4D"/>
        <rFont val="Segoe UI"/>
        <family val="2"/>
      </rPr>
      <t> - Modificação de dados ou falsificação de identidade.</t>
    </r>
  </si>
  <si>
    <t>API Gateway, Firewalls, Security Groups</t>
  </si>
  <si>
    <t>Os logs devem ser integrados com o SIEM via modelo JSON ou via API Rest (para esse cenário de coleta de logs o payload não deve estar criptografado para garantir que a ferramenta de SIEM consiga consumir os logs)</t>
  </si>
  <si>
    <t>Toda comunicação entre cloud e ambiente On-Prem deve acontecer via comunicação segura, aplicando controles como limitação de requisições, whitelist de IP, inspeção de tráfego etc.</t>
  </si>
  <si>
    <r>
      <t>A02: Cryptographic Failures</t>
    </r>
    <r>
      <rPr>
        <sz val="7"/>
        <color rgb="FF172B4D"/>
        <rFont val="Segoe UI"/>
        <family val="2"/>
      </rPr>
      <t> - Falha na criptografia, expondo dados sensíveis em trânsito.</t>
    </r>
  </si>
  <si>
    <r>
      <t>Information Disclosure</t>
    </r>
    <r>
      <rPr>
        <sz val="7"/>
        <color rgb="FF172B4D"/>
        <rFont val="Segoe UI"/>
        <family val="2"/>
      </rPr>
      <t>, </t>
    </r>
    <r>
      <rPr>
        <b/>
        <sz val="7"/>
        <color rgb="FF172B4D"/>
        <rFont val="Segoe UI"/>
        <family val="2"/>
      </rPr>
      <t>Tampering</t>
    </r>
    <r>
      <rPr>
        <sz val="7"/>
        <color rgb="FF172B4D"/>
        <rFont val="Segoe UI"/>
        <family val="2"/>
      </rPr>
      <t> - Exposição de informações ou modificação de dados em trânsito.</t>
    </r>
  </si>
  <si>
    <t>TLS, MTLS, VPN, Express Route</t>
  </si>
  <si>
    <t>Criptografia</t>
  </si>
  <si>
    <t>Todas as comunicações devem ser criptografadas.</t>
  </si>
  <si>
    <r>
      <t>Tampering</t>
    </r>
    <r>
      <rPr>
        <sz val="7"/>
        <color rgb="FF172B4D"/>
        <rFont val="Segoe UI"/>
        <family val="2"/>
      </rPr>
      <t>, </t>
    </r>
    <r>
      <rPr>
        <b/>
        <sz val="7"/>
        <color rgb="FF172B4D"/>
        <rFont val="Segoe UI"/>
        <family val="2"/>
      </rPr>
      <t>Information Disclosure</t>
    </r>
    <r>
      <rPr>
        <sz val="7"/>
        <color rgb="FF172B4D"/>
        <rFont val="Segoe UI"/>
        <family val="2"/>
      </rPr>
      <t> - Modificação ou interceptação de dados.</t>
    </r>
  </si>
  <si>
    <t>TLS, HTTPS, mTLS, </t>
  </si>
  <si>
    <t>Controle de acesso</t>
  </si>
  <si>
    <t>O acesso às APIs deve ocorrer com base em políticas de segurança definidas (ex: privilégio mínimo, RBAC e revalidação contínua).</t>
  </si>
  <si>
    <r>
      <t>A01: Broken Access Control</t>
    </r>
    <r>
      <rPr>
        <sz val="7"/>
        <color rgb="FF172B4D"/>
        <rFont val="Segoe UI"/>
        <family val="2"/>
      </rPr>
      <t> - Falhas no controle de acesso permitindo acessos não autorizados.</t>
    </r>
  </si>
  <si>
    <r>
      <t>Elevation of Privilege</t>
    </r>
    <r>
      <rPr>
        <sz val="7"/>
        <color rgb="FF172B4D"/>
        <rFont val="Segoe UI"/>
        <family val="2"/>
      </rPr>
      <t>, </t>
    </r>
    <r>
      <rPr>
        <b/>
        <sz val="7"/>
        <color rgb="FF172B4D"/>
        <rFont val="Segoe UI"/>
        <family val="2"/>
      </rPr>
      <t>Spoofing</t>
    </r>
    <r>
      <rPr>
        <sz val="7"/>
        <color rgb="FF172B4D"/>
        <rFont val="Segoe UI"/>
        <family val="2"/>
      </rPr>
      <t> - Elevação de privilégios e falsificação de identidade.</t>
    </r>
  </si>
  <si>
    <t>IAM (Identity Access Management), RBAC, OAuth 2.0</t>
  </si>
  <si>
    <t>Monitoramento de segurança</t>
  </si>
  <si>
    <t>A solução deve detectar e alertar sobre atividades maliciosas em APIs, como injeção SQL, análise de payload malicioso, tamanho de payload etc.</t>
  </si>
  <si>
    <r>
      <t>A03: Injection</t>
    </r>
    <r>
      <rPr>
        <sz val="7"/>
        <color rgb="FF172B4D"/>
        <rFont val="Segoe UI"/>
        <family val="2"/>
      </rPr>
      <t>, </t>
    </r>
    <r>
      <rPr>
        <b/>
        <sz val="7"/>
        <color rgb="FF172B4D"/>
        <rFont val="Segoe UI"/>
        <family val="2"/>
      </rPr>
      <t>A04: Insecure Design</t>
    </r>
    <r>
      <rPr>
        <sz val="7"/>
        <color rgb="FF172B4D"/>
        <rFont val="Segoe UI"/>
        <family val="2"/>
      </rPr>
      <t> - Vulnerabilidades no design e injeção de código malicioso.</t>
    </r>
  </si>
  <si>
    <r>
      <t>Tampering</t>
    </r>
    <r>
      <rPr>
        <sz val="7"/>
        <color rgb="FF172B4D"/>
        <rFont val="Segoe UI"/>
        <family val="2"/>
      </rPr>
      <t>, </t>
    </r>
    <r>
      <rPr>
        <b/>
        <sz val="7"/>
        <color rgb="FF172B4D"/>
        <rFont val="Segoe UI"/>
        <family val="2"/>
      </rPr>
      <t>Denial of Service</t>
    </r>
    <r>
      <rPr>
        <sz val="7"/>
        <color rgb="FF172B4D"/>
        <rFont val="Segoe UI"/>
        <family val="2"/>
      </rPr>
      <t> - Modificação maliciosa ou sobrecarga de tráfego.</t>
    </r>
  </si>
  <si>
    <t>Todo e qualquer custo referente a log (ingestão; consumo) na nuvem precisa ser mensurado e considerado na etapa inicial do projeto durante a definição do orçamento. As trilhas de segurança fazem parte dos requisitos e os projetos precisam garantir que estejam habilitadas nos padrões definidos.</t>
  </si>
  <si>
    <t>Controle de saída</t>
  </si>
  <si>
    <t>Aplicar controle de saída evitando "shell reverso" e movimentação lateral.</t>
  </si>
  <si>
    <r>
      <t>A04: Insecure Design</t>
    </r>
    <r>
      <rPr>
        <sz val="7"/>
        <color rgb="FF172B4D"/>
        <rFont val="Segoe UI"/>
        <family val="2"/>
      </rPr>
      <t> - Falhas na arquitetura de segurança</t>
    </r>
  </si>
  <si>
    <r>
      <t>Lateral Movement</t>
    </r>
    <r>
      <rPr>
        <sz val="7"/>
        <color rgb="FF172B4D"/>
        <rFont val="Segoe UI"/>
        <family val="2"/>
      </rPr>
      <t>, </t>
    </r>
    <r>
      <rPr>
        <b/>
        <sz val="7"/>
        <color rgb="FF172B4D"/>
        <rFont val="Segoe UI"/>
        <family val="2"/>
      </rPr>
      <t>Tampering</t>
    </r>
    <r>
      <rPr>
        <sz val="7"/>
        <color rgb="FF172B4D"/>
        <rFont val="Segoe UI"/>
        <family val="2"/>
      </rPr>
      <t> - Movimentação lateral e alteração não autorizada de dados.</t>
    </r>
  </si>
  <si>
    <t>Proxy de saída, NGFW</t>
  </si>
  <si>
    <t>Garantir as devidas configurações nos recursos e serviços da cloud para que seja possível a geração dos logs (para cada provedor existe um controle específico que na maioria das vezes é baseado na instalação de um agente nesses recursos). Já na aplicação precisa estar garantido no próprio desenvolvimento.</t>
  </si>
  <si>
    <t>Monitoramento de tráfego de saída</t>
  </si>
  <si>
    <t>Monitorar o tráfego de saída para bloquear comportamentos anômalos, como exfiltração de dados ou acessos não autorizados a destinos externos.</t>
  </si>
  <si>
    <r>
      <t>Information Disclosure</t>
    </r>
    <r>
      <rPr>
        <sz val="7"/>
        <color rgb="FF172B4D"/>
        <rFont val="Segoe UI"/>
        <family val="2"/>
      </rPr>
      <t>, </t>
    </r>
    <r>
      <rPr>
        <b/>
        <sz val="7"/>
        <color rgb="FF172B4D"/>
        <rFont val="Segoe UI"/>
        <family val="2"/>
      </rPr>
      <t>Denial of Service</t>
    </r>
    <r>
      <rPr>
        <sz val="7"/>
        <color rgb="FF172B4D"/>
        <rFont val="Segoe UI"/>
        <family val="2"/>
      </rPr>
      <t> - Exfiltração de dados ou ataque de negação de serviço.</t>
    </r>
  </si>
  <si>
    <t>SIEM, IDS/IPS, NGFW, DLP de redes, Proxy</t>
  </si>
  <si>
    <t>Criptografia (mTLS)</t>
  </si>
  <si>
    <t>Capacidade de aplicar controle de mTLS para prevenir ataques man-in-the-middle.</t>
  </si>
  <si>
    <r>
      <t>A02: Cryptographic Failures</t>
    </r>
    <r>
      <rPr>
        <sz val="7"/>
        <color rgb="FF172B4D"/>
        <rFont val="Segoe UI"/>
        <family val="2"/>
      </rPr>
      <t> - Falha de criptografia que permite a interceptação de dados em trânsito.</t>
    </r>
  </si>
  <si>
    <r>
      <t>Information Disclosure</t>
    </r>
    <r>
      <rPr>
        <sz val="7"/>
        <color rgb="FF172B4D"/>
        <rFont val="Segoe UI"/>
        <family val="2"/>
      </rPr>
      <t>, </t>
    </r>
    <r>
      <rPr>
        <b/>
        <sz val="7"/>
        <color rgb="FF172B4D"/>
        <rFont val="Segoe UI"/>
        <family val="2"/>
      </rPr>
      <t>Tampering</t>
    </r>
    <r>
      <rPr>
        <sz val="7"/>
        <color rgb="FF172B4D"/>
        <rFont val="Segoe UI"/>
        <family val="2"/>
      </rPr>
      <t> - Interceptação de comunicações e modificação de dados.</t>
    </r>
  </si>
  <si>
    <t>mTLS, VPN, TLS</t>
  </si>
  <si>
    <t>Restrição de IPs/URLs</t>
  </si>
  <si>
    <t>As requisições devem ser direcionadas apenas para IPs ou URLs previamente autorizados.</t>
  </si>
  <si>
    <r>
      <t>A05: Security Misconfiguration</t>
    </r>
    <r>
      <rPr>
        <sz val="7"/>
        <color rgb="FF172B4D"/>
        <rFont val="Segoe UI"/>
        <family val="2"/>
      </rPr>
      <t> - Configuração inadequada permitindo o acesso a sistemas não autorizados.</t>
    </r>
  </si>
  <si>
    <r>
      <t>Tampering</t>
    </r>
    <r>
      <rPr>
        <sz val="7"/>
        <color rgb="FF172B4D"/>
        <rFont val="Segoe UI"/>
        <family val="2"/>
      </rPr>
      <t>, </t>
    </r>
    <r>
      <rPr>
        <b/>
        <sz val="7"/>
        <color rgb="FF172B4D"/>
        <rFont val="Segoe UI"/>
        <family val="2"/>
      </rPr>
      <t>Spoofing</t>
    </r>
    <r>
      <rPr>
        <sz val="7"/>
        <color rgb="FF172B4D"/>
        <rFont val="Segoe UI"/>
        <family val="2"/>
      </rPr>
      <t> - Modificação de dados ou identidade falsa de origem de tráfego.</t>
    </r>
  </si>
  <si>
    <t>API Gateway, NGFW, Proxy</t>
  </si>
  <si>
    <t>Tokens de autenticação (OAuth, JWT)</t>
  </si>
  <si>
    <t>Utilizar tokens de autenticação seguros (OAuth, JWT) e gerenciar o ciclo de vida, garantindo que apenas serviços autenticados consumam APIs externas.</t>
  </si>
  <si>
    <r>
      <t>Spoofing</t>
    </r>
    <r>
      <rPr>
        <sz val="7"/>
        <color rgb="FF172B4D"/>
        <rFont val="Segoe UI"/>
        <family val="2"/>
      </rPr>
      <t>, </t>
    </r>
    <r>
      <rPr>
        <b/>
        <sz val="7"/>
        <color rgb="FF172B4D"/>
        <rFont val="Segoe UI"/>
        <family val="2"/>
      </rPr>
      <t>Elevation of Privilege</t>
    </r>
    <r>
      <rPr>
        <sz val="7"/>
        <color rgb="FF172B4D"/>
        <rFont val="Segoe UI"/>
        <family val="2"/>
      </rPr>
      <t> - Falsificação de identidade e elevação de privilégios.</t>
    </r>
  </si>
  <si>
    <t>OAuth 2.0, JWT, OpenID Connect</t>
  </si>
  <si>
    <t>Auditoria de tráfego de saída</t>
  </si>
  <si>
    <t>Garantir auditoria detalhada do tráfego de saída, com logs de todas as requisições para APIs externas, incluindo informações sobre quem acessou, quando e qual foi o destino.</t>
  </si>
  <si>
    <r>
      <t>A10: Logging and Monitoring Failures</t>
    </r>
    <r>
      <rPr>
        <sz val="7"/>
        <color rgb="FF172B4D"/>
        <rFont val="Segoe UI"/>
        <family val="2"/>
      </rPr>
      <t> - Falta de logs detalhados comprometendo a auditoria e detecção de anomalias.</t>
    </r>
  </si>
  <si>
    <r>
      <t>Repudiation</t>
    </r>
    <r>
      <rPr>
        <sz val="7"/>
        <color rgb="FF172B4D"/>
        <rFont val="Segoe UI"/>
        <family val="2"/>
      </rPr>
      <t>- Falha em atribuir ações a uma entidade ou eventos não rastreados.</t>
    </r>
  </si>
  <si>
    <t>SIEM, Splunk, ELK Stack, Fluentd, Loggers centralizados</t>
  </si>
  <si>
    <t>Rate Limiting</t>
  </si>
  <si>
    <t>Capacidade de configurar limites de requisições para evitar sobrecarga ou ataques em APIs externas.</t>
  </si>
  <si>
    <r>
      <t>A04: Insecure Design</t>
    </r>
    <r>
      <rPr>
        <sz val="7"/>
        <color rgb="FF172B4D"/>
        <rFont val="Segoe UI"/>
        <family val="2"/>
      </rPr>
      <t>, </t>
    </r>
    <r>
      <rPr>
        <b/>
        <sz val="7"/>
        <color rgb="FF172B4D"/>
        <rFont val="Segoe UI"/>
        <family val="2"/>
      </rPr>
      <t>A09: Security Logging and Monitoring Failures</t>
    </r>
    <r>
      <rPr>
        <sz val="7"/>
        <color rgb="FF172B4D"/>
        <rFont val="Segoe UI"/>
        <family val="2"/>
      </rPr>
      <t> - APIs vulneráveis a uso excessivo ou malicioso.</t>
    </r>
  </si>
  <si>
    <r>
      <t>Denial of Service</t>
    </r>
    <r>
      <rPr>
        <sz val="7"/>
        <color rgb="FF172B4D"/>
        <rFont val="Segoe UI"/>
        <family val="2"/>
      </rPr>
      <t> - Sobrecarga de APIs causando indisponibilidade.</t>
    </r>
  </si>
  <si>
    <t>API Gateway, WAF</t>
  </si>
  <si>
    <t>Endereços de IP previsíveis</t>
  </si>
  <si>
    <t>Garantir que o tráfego de saída venha de IPs previsíveis e controlados, facilitando aceitação pelo serviço externo.</t>
  </si>
  <si>
    <r>
      <t>A05: Security Misconfiguration</t>
    </r>
    <r>
      <rPr>
        <sz val="7"/>
        <color rgb="FF172B4D"/>
        <rFont val="Segoe UI"/>
        <family val="2"/>
      </rPr>
      <t> - Falha na configuração de IPs de origem para tráfego externo.</t>
    </r>
  </si>
  <si>
    <r>
      <t>Spoofing</t>
    </r>
    <r>
      <rPr>
        <sz val="7"/>
        <color rgb="FF172B4D"/>
        <rFont val="Segoe UI"/>
        <family val="2"/>
      </rPr>
      <t>, </t>
    </r>
    <r>
      <rPr>
        <b/>
        <sz val="7"/>
        <color rgb="FF172B4D"/>
        <rFont val="Segoe UI"/>
        <family val="2"/>
      </rPr>
      <t>Tampering</t>
    </r>
    <r>
      <rPr>
        <sz val="7"/>
        <color rgb="FF172B4D"/>
        <rFont val="Segoe UI"/>
        <family val="2"/>
      </rPr>
      <t> - Uso de IPs maliciosos ou não autorizados.</t>
    </r>
  </si>
  <si>
    <t>IP Whitelist, Firewall</t>
  </si>
  <si>
    <t>Monitoramento e alertas</t>
  </si>
  <si>
    <t>Implementar monitoramento para detectar comportamentos inesperados no consumo de APIs, como picos de tráfego ou comunicação com destinos não autorizados.</t>
  </si>
  <si>
    <r>
      <t>A09: Security Logging and Monitoring Failures</t>
    </r>
    <r>
      <rPr>
        <sz val="7"/>
        <color rgb="FF172B4D"/>
        <rFont val="Segoe UI"/>
        <family val="2"/>
      </rPr>
      <t> - Falta de monitoramento que compromete a detecção de anomalias.</t>
    </r>
  </si>
  <si>
    <r>
      <t>Denial of Service</t>
    </r>
    <r>
      <rPr>
        <sz val="7"/>
        <color rgb="FF172B4D"/>
        <rFont val="Segoe UI"/>
        <family val="2"/>
      </rPr>
      <t>- Tentativas de uso indevido</t>
    </r>
  </si>
  <si>
    <t>SALT</t>
  </si>
  <si>
    <t>Visibilidade de consumo de APIs</t>
  </si>
  <si>
    <t>Visibilidade sobre o tipo de API que está sendo consumida.</t>
  </si>
  <si>
    <r>
      <t>A05: Security Misconfiguration</t>
    </r>
    <r>
      <rPr>
        <sz val="7"/>
        <color rgb="FF172B4D"/>
        <rFont val="Segoe UI"/>
        <family val="2"/>
      </rPr>
      <t>, </t>
    </r>
    <r>
      <rPr>
        <b/>
        <sz val="7"/>
        <color rgb="FF172B4D"/>
        <rFont val="Segoe UI"/>
        <family val="2"/>
      </rPr>
      <t>A06: Vulnerable and Outdated Components</t>
    </r>
    <r>
      <rPr>
        <sz val="7"/>
        <color rgb="FF172B4D"/>
        <rFont val="Segoe UI"/>
        <family val="2"/>
      </rPr>
      <t> - Falha em monitorar a utilização de APIs ou o uso de componentes vulneráveis.</t>
    </r>
  </si>
  <si>
    <r>
      <t>Information Disclosure</t>
    </r>
    <r>
      <rPr>
        <sz val="7"/>
        <color rgb="FF172B4D"/>
        <rFont val="Segoe UI"/>
        <family val="2"/>
      </rPr>
      <t>, </t>
    </r>
    <r>
      <rPr>
        <b/>
        <sz val="7"/>
        <color rgb="FF172B4D"/>
        <rFont val="Segoe UI"/>
        <family val="2"/>
      </rPr>
      <t>Denial of Service</t>
    </r>
    <r>
      <rPr>
        <sz val="7"/>
        <color rgb="FF172B4D"/>
        <rFont val="Segoe UI"/>
        <family val="2"/>
      </rPr>
      <t> - Exposição de dados e ataque de negação de serviço.</t>
    </r>
  </si>
  <si>
    <t>API GTW, SALT</t>
  </si>
  <si>
    <t>Visibilidade da segurança de APIs</t>
  </si>
  <si>
    <t>Visibilidade sobre o tipo de segurança que as APIs consumidas possuem (ex: autenticação).</t>
  </si>
  <si>
    <r>
      <t>A05: Security Misconfiguration</t>
    </r>
    <r>
      <rPr>
        <sz val="7"/>
        <color rgb="FF172B4D"/>
        <rFont val="Segoe UI"/>
        <family val="2"/>
      </rPr>
      <t>, </t>
    </r>
    <r>
      <rPr>
        <b/>
        <sz val="7"/>
        <color rgb="FF172B4D"/>
        <rFont val="Segoe UI"/>
        <family val="2"/>
      </rPr>
      <t>A07: Identification and Authentication Failures</t>
    </r>
    <r>
      <rPr>
        <sz val="7"/>
        <color rgb="FF172B4D"/>
        <rFont val="Segoe UI"/>
        <family val="2"/>
      </rPr>
      <t> - Falhas nas medidas de segurança implementadas em APIs.</t>
    </r>
  </si>
  <si>
    <r>
      <t>Spoofing</t>
    </r>
    <r>
      <rPr>
        <sz val="7"/>
        <color rgb="FF172B4D"/>
        <rFont val="Segoe UI"/>
        <family val="2"/>
      </rPr>
      <t>, </t>
    </r>
    <r>
      <rPr>
        <b/>
        <sz val="7"/>
        <color rgb="FF172B4D"/>
        <rFont val="Segoe UI"/>
        <family val="2"/>
      </rPr>
      <t>Tampering</t>
    </r>
    <r>
      <rPr>
        <sz val="7"/>
        <color rgb="FF172B4D"/>
        <rFont val="Segoe UI"/>
        <family val="2"/>
      </rPr>
      <t> - Autenticação fraca ou comprometida e modificação de dados.</t>
    </r>
  </si>
  <si>
    <t>API GTW, SAL</t>
  </si>
  <si>
    <t>Aplicar filtros por IP de origem para consumo de APIs (blocklist).</t>
  </si>
  <si>
    <t>Restringe acessos indevidos, bloqueando IPs suspeitos ou não autorizados. Reduz risco de ataques como força bruta. Ajuda a evitar consumo indevido de recursos da API. Deve ser atualizado periodicamente para refletir novas ameaças. Essencial para proteger dados e serviços expostos.</t>
  </si>
  <si>
    <t>Toda comunicação de APIs entre ambientes distintos deve acontecer via comunicação segura, aplicando controles como limitação de requisições, blocklist de IP, inspeção de tráfego etc.</t>
  </si>
  <si>
    <t>Impede vazamento de dados e ataques de interceptação. Limitação de requisições evita sobrecarga e DoS. Blocklist de IPs mitiga acessos maliciosos. Inspeção de tráfego detecta padrões suspeitos. Garante conformidade com boas práticas de segurança.</t>
  </si>
  <si>
    <t>Garante que apenas usuários autorizados acessem APIs. O privilégio mínimo reduz impacto de acessos indevidos. RBAC define permissões por função, evitando exposições desnecessárias. A revalidação contínua impede sessões indevidas. Essencial para controle granular e segurança dos dados.</t>
  </si>
  <si>
    <t>Publicar serviços em arquitetura "Hub-Spoke" com todas as proteções: IPS, WAF, Firewall, TLS, API Gateway</t>
  </si>
  <si>
    <t>Garantir que todos os serviços sejam publicados de forma segura, com as proteções adequadas.</t>
  </si>
  <si>
    <t>Rede, Serviços Expostos</t>
  </si>
  <si>
    <t>X</t>
  </si>
  <si>
    <t>Segregar arquitetura com NSG e ASG por funcionalidades: Apresentação, Lógica de Negócio, Persistência/Dados</t>
  </si>
  <si>
    <t>Implementar segregação clara para evitar acessos indesejados entre camadas.</t>
  </si>
  <si>
    <t>Rede</t>
  </si>
  <si>
    <t>Control Plane com segurança, incluindo MFA, Acesso Condicional e Geolocalização</t>
  </si>
  <si>
    <t>Implementar modelos de controle de acesso rigorosos para proteger o plano de controle.</t>
  </si>
  <si>
    <t>Controle de Acesso</t>
  </si>
  <si>
    <t>Política organizacional para NÃO PERMITIR exposição de portas de serviços à Internet (Ex: 22, 1433, 1521, 3306, 3389, 5432, 6379, 6380, 8000, 8080, 27017, 21)</t>
  </si>
  <si>
    <t>Impedir a exposição de portas críticas para a Internet, garantindo a segurança do sistema.</t>
  </si>
  <si>
    <t>Política organizacional para NÃO PERMITIR exposição na Internet de interfaces administrativas de recursos IaaS e PaaS</t>
  </si>
  <si>
    <t>Bloquear a exposição de interfaces administrativas para evitar acessos não autorizados.</t>
  </si>
  <si>
    <t>Administração, Recursos de IaaS/PaaS</t>
  </si>
  <si>
    <t>Política organizacional para NÃO PERMITIR provisionamento de endereços sem filtragem de origem, destino e serviço/porta</t>
  </si>
  <si>
    <t>Impedir provisionamento sem controle adequado sobre tráfego e acesso.</t>
  </si>
  <si>
    <t>Provisionamento de Storage Account ou Database com Private Endpoint (Não permitir storage ou database público)</t>
  </si>
  <si>
    <t>Garantir que o armazenamento e bancos de dados não sejam expostos publicamente.</t>
  </si>
  <si>
    <t>Banco de Dados, Storage</t>
  </si>
  <si>
    <t>Implementação de Guardrails nas novas construções de Landing Zone, conforme políticas da Vivo</t>
  </si>
  <si>
    <t>Adotar políticas de segurança da Vivo para garantir a conformidade.</t>
  </si>
  <si>
    <t>Arquitetura</t>
  </si>
  <si>
    <t>Integração do Tenant com ferramenta corporativa de CNAPP (CSPM e CWPP obrigatórios)</t>
  </si>
  <si>
    <t>Integrar a plataforma com a ferramenta de segurança corporativa para monitoramento.</t>
  </si>
  <si>
    <t>Segurança</t>
  </si>
  <si>
    <t>Implementar governança do processo de exceções, com rastreabilidade de risco e vencimento da ação</t>
  </si>
  <si>
    <t>Garantir controle e rastreabilidade no processo de exceções de segurança.</t>
  </si>
  <si>
    <t>Contas de serviço devem estar em uma ferramenta de Key Vault/PAM (Cofre de Senhas e Azure Key Vault)</t>
  </si>
  <si>
    <t>Proteger contas de serviço armazenando credenciais de maneira segura.</t>
  </si>
  <si>
    <t>Gestão de Identidade e Acesso deve ser realizada pelo time de Identidade da Vivo</t>
  </si>
  <si>
    <t>Centralizar a gestão de identidade e acesso para maior controle e segurança.</t>
  </si>
  <si>
    <t>Garantir políticas de Roles Based Access Control (RBAC)</t>
  </si>
  <si>
    <t>Implementar RBAC para garantir controle de acesso adequado em todas as camadas.</t>
  </si>
  <si>
    <t>Acesso</t>
  </si>
  <si>
    <t>Contas de serviço com acesso privilegiado devem estar em uma ferramenta de PAM ou usar acesso condicional</t>
  </si>
  <si>
    <t>Proteger contas com acesso privilegiado utilizando PAM ou acesso condicional.</t>
  </si>
  <si>
    <t>Habilitar MFA por padrão via Política em nível organizacional</t>
  </si>
  <si>
    <t>Ativar MFA para proteger todas as contas e reduzir risco de comprometimento.</t>
  </si>
  <si>
    <t>Criptografar dados em repouso com protocolo de chave pública/privada utilizando serviço nativo das nuvens</t>
  </si>
  <si>
    <t>Garantir a proteção dos dados em repouso com criptografia robusta.</t>
  </si>
  <si>
    <t>Provisionar serviços com imagens de SO e BD padrão da Vivo (com EDR, antivírus, agente de SIEM e agente de Scan de Infra)</t>
  </si>
  <si>
    <t>Utilizar imagens de sistemas operacionais e bancos de dados aprovados pela Vivo com ferramentas de segurança configuradas.</t>
  </si>
  <si>
    <t>Infraestrutura, Banco de Dados</t>
  </si>
  <si>
    <t>Provisionar serviços com Azure Log Analytics e outros agentes de segurança</t>
  </si>
  <si>
    <t>Integrar serviços com ferramentas de monitoramento e análise de logs.</t>
  </si>
  <si>
    <t>Monitoramento</t>
  </si>
  <si>
    <t>VMs e Containers devem estar dentro do baseline de segurança: SO não obsoleto, agentes de segurança ativos, dentro do cofre de senhas</t>
  </si>
  <si>
    <t>Seguir o padrão de segurança com sistemas operacionais atualizados e ferramentas de segurança configuradas.</t>
  </si>
  <si>
    <t>Computação, Containers</t>
  </si>
  <si>
    <t>Criptografia de disco (repouso) deve estar ativada em todos os recursos com essa capacidade</t>
  </si>
  <si>
    <t>Garantir que todos os recursos suportando criptografia em repouso a utilizem.</t>
  </si>
  <si>
    <t>Imagens do marketplace devem ser baseadas no CIS Benchmark, exceto quando as imagens padrão da Vivo não forem utilizadas</t>
  </si>
  <si>
    <t>Usar imagens baseadas no CIS Benchmark para garantir a segurança.</t>
  </si>
  <si>
    <t>Não permitir exposição de Storages/Blobs/Buckets S3 sem controle de acesso e criptografia</t>
  </si>
  <si>
    <t>Proteger recursos de armazenamento com controle de acesso e criptografia adequados.</t>
  </si>
  <si>
    <t>Todo consumo de banco de dados deve passar por camada de orquestração (API Gateway ou Barramento)</t>
  </si>
  <si>
    <t>Garantir que o tráfego de banco de dados seja intermediado por camadas de orquestração.</t>
  </si>
  <si>
    <t>Banco de Dados, API</t>
  </si>
  <si>
    <t>Proteger páginas WEB com Web Application Firewall (WAF) usando Application Gateway</t>
  </si>
  <si>
    <t>Garantir a proteção contra ataques na camada web com WAF.</t>
  </si>
  <si>
    <t>Web</t>
  </si>
  <si>
    <t>Gestão de logs de cloud deve ser integrada com SIEM</t>
  </si>
  <si>
    <t>Centralizar os logs de segurança para análise e monitoramento contínuo.</t>
  </si>
  <si>
    <t>Implementar DLP nativo da nuvem em Storages e BDs</t>
  </si>
  <si>
    <t>Aplicar políticas de prevenção de perda de dados em serviços de armazenamento e banco de dados.</t>
  </si>
  <si>
    <t>Taggear projetos e recursos que armazenam, trafegam ou processam dados relacionados à LGPD, PCI, SoX</t>
  </si>
  <si>
    <t>Implementar tags para identificar dados sensíveis e garantir conformidade com as leis.</t>
  </si>
  <si>
    <t>Governança, Armazenamento</t>
  </si>
  <si>
    <t>Todas as funções devem estar expostas atrás de API Gateway e aceitando apenas requisições de WAF</t>
  </si>
  <si>
    <t>Assegurar que todas as funções sejam protegidas e aceitem requisições seguras.</t>
  </si>
  <si>
    <t>API, Web</t>
  </si>
  <si>
    <t>Habilitar criptografia em banco de dados (exemplo: TDE - Transparent Data Encryption)</t>
  </si>
  <si>
    <t>Implementar criptografia transparente para proteger dados sensíveis em banco de dados.</t>
  </si>
  <si>
    <t>Realizar validações de SAST e DAST durante o processo de CI/CD, com quebra de Build em caso de risco alto/critico</t>
  </si>
  <si>
    <t>Validar a segurança da aplicação em tempo de desenvolvimento e garantir que vulnerabilidades sejam corrigidas.</t>
  </si>
  <si>
    <t>Certificação SOC II Tipo 2 ou superior para cloud providers contratados</t>
  </si>
  <si>
    <t>Exigir que os provedores de nuvem possuam certificações de segurança como SOC II Tipo 2.</t>
  </si>
  <si>
    <t>Fornecedor</t>
  </si>
  <si>
    <t>Garantir a implementação de diretrizes e políticas de segurança corporativas no provisionamento de qualquer novo ambien</t>
  </si>
  <si>
    <t>O sistema deve indicar pelo menos duas pessoas como Custodiantes da aplicação.</t>
  </si>
  <si>
    <t>Deve ser levantada a descrição detalhada de todas as funcionalidades existentes no sistema.</t>
  </si>
  <si>
    <t>Mapear todas as áreas que utilizarão o sistema por VP, Diretoria, Gerencia Sr, Gerencia (área).</t>
  </si>
  <si>
    <t>Spoofing, Tampering, Information disclosure, Denial of Service, Elevation of Privilege, Lateral Movement</t>
  </si>
  <si>
    <t>Tampering, Information disclosure</t>
  </si>
  <si>
    <t>Information disclosure, Tampering, Denial of Service</t>
  </si>
  <si>
    <t>Tampering , Denial of Service</t>
  </si>
  <si>
    <t>Vazamento de dados de clientes e colaboradores</t>
  </si>
  <si>
    <t>Vulnerabilidades em CRMs</t>
  </si>
  <si>
    <t>Score</t>
  </si>
  <si>
    <t>Tipo de controle</t>
  </si>
  <si>
    <t>Como Testar</t>
  </si>
  <si>
    <t>Tecnologia?</t>
  </si>
  <si>
    <t>Quanto Custa</t>
  </si>
  <si>
    <t>VSS</t>
  </si>
  <si>
    <t>Authentication (AuthN)</t>
  </si>
  <si>
    <t>Toda API deve validar a identidade de usuários, aplicações, serviços ou workloads antes de permitir acesso a recursos protegidos. A autenticação deve utilizar protocolos reconhecidos, como OAuth 2.0, OpenID Connect, SAML 2.0, mTLS ou JWT assinado, assegurando que apenas identidades legítimas, íntegras e dentro da validade sejam aceitas. Tokens de acesso devem possuir expiração explícita e não é permitida a emissão de access tokens sem tempo de validade definido. A ausência deste controle permite impersonação, uso de credenciais comprometidas, acesso não autorizado e quebra do modelo Zero Trust.</t>
  </si>
  <si>
    <t xml:space="preserve"> Arquitetura de APIs</t>
  </si>
  <si>
    <t>Acesso indevido, impersonação, fraude, uso de tokens inválidos ou expirados, comprometimento de contas e exposição de APIs críticas.</t>
  </si>
  <si>
    <t>API2 Broken Authentication; A07 Identification and Authentication Failures</t>
  </si>
  <si>
    <t>Configuração do IAM, políticas OAuth/OIDC, validação de JWT, logs de autenticação, evidência de expiração de tokens.</t>
  </si>
  <si>
    <t>Teste de autenticação, validação de token expirado, tentativa com token adulterado, revisão de configuração OAuth/OIDC, pentest de autenticação.</t>
  </si>
  <si>
    <t>Authorization (AuthZ)</t>
  </si>
  <si>
    <t>Toda API deve aplicar autorização explícita antes da execução de operações ou acesso a objetos, recursos e funções. A decisão de autorização deve considerar papéis, atributos, políticas, escopos OAuth, claims e contexto da requisição. O controle é necessário para impedir BOLA, BFLA, escalonamento de privilégio e acesso indevido a dados ou funções administrativas. A ausência deste controle permite que identidades autenticadas executem ações fora de sua autorização.</t>
  </si>
  <si>
    <t>Acesso indevido a objetos, funções administrativas, dados sensíveis e operações não autorizadas.</t>
  </si>
  <si>
    <t>API1 BOLA; API5 BFLA; A01 Broken Access Control</t>
  </si>
  <si>
    <t>Application</t>
  </si>
  <si>
    <t>Identity Security / Application Security</t>
  </si>
  <si>
    <t>Políticas RBAC/ABAC/PBAC, escopos OAuth, claims, regras de autorização no gateway ou backend.</t>
  </si>
  <si>
    <t>Teste BOLA/BFLA, validação de escopos, tentativa de acesso horizontal/vertical, revisão de políticas de autorização.</t>
  </si>
  <si>
    <t>Identidades humanas, aplicações, serviços e workloads devem receber somente os privilégios mínimos necessários para executar suas funções autorizadas. O controle deve limitar escopos, permissões administrativas, tokens e credenciais ao menor conjunto possível. A ausência de menor privilégio aumenta impacto de credenciais comprometidas, amplia superfície de ataque e facilita escalonamento de privilégios.</t>
  </si>
  <si>
    <t>Escalonamento de privilégios, abuso de permissões excessivas, movimentação lateral e comprometimento ampliado.</t>
  </si>
  <si>
    <t>API5 BFLA; A01 Broken Access Control</t>
  </si>
  <si>
    <t>Identity Security / Governance</t>
  </si>
  <si>
    <t>Matriz de permissões, escopos mínimos, revisão de acessos, evidência de segregação de funções.</t>
  </si>
  <si>
    <t>Revisão de permissões, teste de excesso de escopo, auditoria de acessos privilegiados, recertificação de acessos.</t>
  </si>
  <si>
    <t>Mutual Authentication</t>
  </si>
  <si>
    <t>Comunicações entre consumidores, APIs, serviços e workloads devem suportar autenticação mútua quando houver comunicação entre contextos de segurança distintos ou serviços críticos. O controle deve validar criptograficamente ambas as partes por certificados, mTLS, SPIFFE/SPIRE ou mecanismos equivalentes. A ausência deste controle permite conexão com endpoints falsos, MITM, spoofing de serviços e aceitação de consumidores não confiáveis.</t>
  </si>
  <si>
    <t>Autenticação / Integridade</t>
  </si>
  <si>
    <t>MITM, spoofing de serviços, conexão com endpoint falso, tráfego não confiável e quebra de confiança entre workloads.</t>
  </si>
  <si>
    <t>API2 Broken Authentication; A02 Cryptographic Failures</t>
  </si>
  <si>
    <t>Network</t>
  </si>
  <si>
    <t>Identity Security / Network Security</t>
  </si>
  <si>
    <t>Configuração mTLS, certificados X.509, SPIFFE IDs, logs de handshake TLS, validação de cadeia.</t>
  </si>
  <si>
    <t>Teste mTLS, tentativa sem certificado, certificado expirado/revogado, validação de SPIFFE ID e cadeia X.509.</t>
  </si>
  <si>
    <t>Policy Enforcement</t>
  </si>
  <si>
    <t>Toda requisição deve ser submetida à aplicação de políticas antes de alcançar recursos protegidos. O enforcement deve ocorrer em pontos controlados, como API Gateway, PEP, Service Mesh ou componente equivalente, com decisão baseada em políticas centralizadas ou federadas. A ausência deste controle permite bypass de políticas, acesso direto ao backend e inconsistência na aplicação de autorização.</t>
  </si>
  <si>
    <t>Autorização / Integridade</t>
  </si>
  <si>
    <t>Bypass de política, acesso direto a backend, autorização inconsistente e quebra de governança.</t>
  </si>
  <si>
    <t>API1 BOLA; API5 BFLA; API8 Security Misconfiguration</t>
  </si>
  <si>
    <t>Políticas PEP/PDP, regras no gateway, trilha de decisão, arquitetura de enforcement.</t>
  </si>
  <si>
    <t>Teste de bypass, revisão de rotas diretas, validação PDP/PEP, teste de política negada.</t>
  </si>
  <si>
    <t>Dynamic Authorization</t>
  </si>
  <si>
    <t>APIs devem suportar decisões de autorização baseadas em contexto dinâmico, incluindo risco, dispositivo, localização, sessão, identidade, escopo, tenant e sensibilidade da operação. O controle é necessário para cenários em que autorização estática não é suficiente. A ausência deste controle impede adaptação a mudanças de risco e permite acessos indevidos em condições anômalas.</t>
  </si>
  <si>
    <t>Acesso permitido em contexto de risco elevado, fraude, abuso de sessão e autorização indevida.</t>
  </si>
  <si>
    <t>Identity Security / Risk-Based Access</t>
  </si>
  <si>
    <t>Políticas ABAC/PBAC, regras contextuais, logs de decisão, atributos utilizados na autorização.</t>
  </si>
  <si>
    <t>Teste com alteração de contexto, simulação de risco, validação de ABAC/PBAC, auditoria de decisão de acesso.</t>
  </si>
  <si>
    <t>VIVO.SEGURA.APIS.007</t>
  </si>
  <si>
    <t>Identity Federation</t>
  </si>
  <si>
    <t>APIs que aceitam identidades externas devem estabelecer relação formal de confiança com provedores de identidade autorizados, utilizando federação baseada em padrões como OIDC, SAML 2.0 ou SCIM. O controle assegura que identidades externas sejam autenticadas, mapeadas e governadas de forma consistente. A ausência deste controle permite aceitação de identidades não confiáveis, claims incorretas e quebra de segregação entre domínios.</t>
  </si>
  <si>
    <t>Autenticação / Autorização</t>
  </si>
  <si>
    <t>Abuso de confiança federada, claims indevidas, acesso externo não governado e falhas de provisionamento.</t>
  </si>
  <si>
    <t>Sem impacto</t>
  </si>
  <si>
    <t>Configuração de federação, metadados IdP, mapeamento de claims, trilhas de autenticação federada.</t>
  </si>
  <si>
    <t>Teste de login federado, validação de claims, tentativa com IdP não autorizado, revisão de trust relationship.</t>
  </si>
  <si>
    <t>VIVO.SEGURA.APIS.008</t>
  </si>
  <si>
    <t>Authentication Chaining</t>
  </si>
  <si>
    <t>APIs e operações sensíveis devem permitir encadeamento de autenticação, combinando múltiplos mecanismos, como MFA, mTLS, OAuth, step-up authentication e autenticação adaptativa. O controle reduz risco de comprometimento por dependência de um único fator ou artefato de autenticação. A ausência deste controle permite que uma única credencial comprometida seja suficiente para acesso a operações críticas.</t>
  </si>
  <si>
    <t>Comprometimento de conta, bypass de autenticação, acesso indevido a operações sensíveis e fraude.</t>
  </si>
  <si>
    <t>Políticas MFA, ACR/AMR claims, configuração step-up, logs de autenticação adaptativa.</t>
  </si>
  <si>
    <t>Teste de step-up, tentativa sem segundo fator, validação ACR/AMR, simulação de risco elevado.</t>
  </si>
  <si>
    <t>VIVO.SEGURA.APIS.009</t>
  </si>
  <si>
    <t>Token &amp; Protocol Translation</t>
  </si>
  <si>
    <t>Traduções de tokens, claims e protocolos entre domínios devem preservar validade, escopos, issuer, audience, contexto de identidade e restrições de segurança. O controle é necessário em integrações entre plataformas, gateways, IdPs e domínios federados. A ausência deste controle pode gerar tokens com privilégios indevidos, perda de contexto de segurança ou aceitação incorreta de identidades.</t>
  </si>
  <si>
    <t>Elevação indevida de privilégio, token confusion, perda de claims, autorização incorreta e abuso de federação.</t>
  </si>
  <si>
    <t>API10 Unsafe Consumption of APIs; API2 Broken Authentication</t>
  </si>
  <si>
    <t>Identity Security / Integration Security</t>
  </si>
  <si>
    <t>Regras de token exchange, mapeamento de claims, logs de tradução, configuração de audience/issuer.</t>
  </si>
  <si>
    <t>Teste de token exchange, validação de claims após tradução, tentativa de token substitution, revisão de mapeamento.</t>
  </si>
  <si>
    <t>VIVO.SEGURA.APIS.010</t>
  </si>
  <si>
    <t>Credential Management</t>
  </si>
  <si>
    <t>Credenciais, client secrets, API keys, tokens e artefatos de autenticação devem possuir ciclo de vida gerenciado, incluindo emissão, validade, rotação, renovação, revogação e descarte seguro. Tokens de acesso devem sempre possuir expiração definida. A ausência deste controle permite uso prolongado de credenciais comprometidas, exposição de secrets e dificuldade de contenção em incidentes.</t>
  </si>
  <si>
    <t>Autenticação / Confidencialidade</t>
  </si>
  <si>
    <t>Roubo de credenciais, uso de secrets expostos, tokens permanentes, fraude e acesso persistente não autorizado.</t>
  </si>
  <si>
    <t>API2 Broken Authentication; API8 Security Misconfiguration</t>
  </si>
  <si>
    <t>Data</t>
  </si>
  <si>
    <t>Identity Security / Secrets Management</t>
  </si>
  <si>
    <t>Política de rotação, logs de revogação, configuração de expiração, inventário de credenciais, evidência de ciclo de vida.</t>
  </si>
  <si>
    <t>Teste com credencial revogada, token expirado, segredo rotacionado, auditoria de secrets e revisão de expiração.</t>
  </si>
  <si>
    <t>VIVO.SEGURA.APIS.011</t>
  </si>
  <si>
    <t>Administrative Access Control</t>
  </si>
  <si>
    <t>Acessos administrativos a gateways, portais, IdPs, cofres de segredos, autoridades certificadoras e consoles de gestão devem possuir controles reforçados, incluindo MFA, PAM, segregação de funções, escopos administrativos e acesso JIT. A ausência deste controle permite alteração indevida de políticas, roubo de credenciais, desativação de controles e comprometimento da plataforma de APIs.</t>
  </si>
  <si>
    <t>Autorização / Autenticação</t>
  </si>
  <si>
    <t>Comprometimento administrativo, alteração indevida de controles, fraude interna e impacto sistêmico.</t>
  </si>
  <si>
    <t>Identity Security / Privileged Access</t>
  </si>
  <si>
    <t>Logs PAM, configuração MFA, matriz SoD, trilhas administrativas, aprovação JIT.</t>
  </si>
  <si>
    <t>Auditoria PAM, teste de acesso privilegiado, validação MFA, revisão de segregação de funções e trilhas administrativas.</t>
  </si>
  <si>
    <t>VIVO.SEGURA.APIS.012</t>
  </si>
  <si>
    <t>Secret Management</t>
  </si>
  <si>
    <t>Segredos utilizados por aplicações, APIs, pipelines e workloads devem ser armazenados, distribuídos e recuperados por mecanismos seguros, como cofres, dynamic secrets, secret injection e identidade de workload. Segredos não devem estar em código-fonte, imagens, artefatos de build ou variáveis sem proteção adequada. A ausência deste controle expõe credenciais críticas, permite comprometimento de workloads e dificulta resposta a incidentes.</t>
  </si>
  <si>
    <t>Confidencialidade / Autenticação</t>
  </si>
  <si>
    <t>Vazamento de secrets, comprometimento de workloads, acesso não autorizado, movimentação lateral e persistência.</t>
  </si>
  <si>
    <t>API2 Broken Authentication; API8 Security Misconfiguration; A02 Cryptographic Failures</t>
  </si>
  <si>
    <t>Secrets Management / Identity Security</t>
  </si>
  <si>
    <t>Configuração de cofre, logs de secret retrieval, rotação de secrets, evidência de ausência de secrets em código.</t>
  </si>
  <si>
    <t>Secret scanning, teste de recuperação autorizada, tentativa de acesso não autorizado ao cofre, revisão de pipelines e repositórios.</t>
  </si>
  <si>
    <t>VIVO.SEGURA.APIS.013</t>
  </si>
  <si>
    <t>Toda API deve possuir limitação de taxa de requisições por consumidor, IP, API Key, JWT, Client ID ou identidade equivalente, com capacidade de controlar volume, rajadas e concorrência. O controle é necessário para impedir abuso automatizado, força bruta, credential stuffing e consumo excessivo de recursos. A ausência deste controle permite indisponibilidade, degradação de serviço e exploração de fluxos sensíveis por automação maliciosa.</t>
  </si>
  <si>
    <t>Indisponibilidade, degradação de performance, abuso automatizado, força bruta e exploração massiva de endpoints.</t>
  </si>
  <si>
    <t>API4 Unrestricted Resource Consumption; API6 Unrestricted Access to Sensitive Business Flows</t>
  </si>
  <si>
    <t>Traffic Protection / API Security</t>
  </si>
  <si>
    <t>Configuração de rate limiting no gateway/WAAP, política por consumidor, logs HTTP 429, métricas de bloqueio.</t>
  </si>
  <si>
    <t>Teste de carga controlado, simulação de excesso de requisições, validação de HTTP 429 e Retry-After, teste por IP/token/client_id.</t>
  </si>
  <si>
    <t>VIVO.SEGURA.APIS.014</t>
  </si>
  <si>
    <t>Throttling</t>
  </si>
  <si>
    <t>Toda API deve permitir redução controlada da taxa de processamento quando houver excesso de tráfego, saturação de recursos ou comportamento anômalo de consumidores. O throttling deve atuar antes da indisponibilidade, degradando ou desacelerando o consumo de forma controlada. A ausência deste controle aumenta risco de exaustão de recursos, degradação não controlada e falha em cascata.</t>
  </si>
  <si>
    <t>Saturação de backend, degradação de serviço, falha em cascata e indisponibilidade por tráfego excessivo.</t>
  </si>
  <si>
    <t>API4 Unrestricted Resource Consumption</t>
  </si>
  <si>
    <t>Traffic Protection / Resilience</t>
  </si>
  <si>
    <t>Política de throttling, métricas de degradação, registros de limitação adaptativa, configuração de gateway/WAAP.</t>
  </si>
  <si>
    <t>Teste de carga progressiva, simulação de saturação, validação de throttling adaptativo e análise de métricas operacionais.</t>
  </si>
  <si>
    <t>VIVO.SEGURA.APIS.015</t>
  </si>
  <si>
    <t>Quota Management</t>
  </si>
  <si>
    <t>APIs devem aplicar cotas de uso por consumidor, aplicação, tenant ou organização, considerando períodos diários, mensais ou janelas definidas pela governança. O controle é necessário para limitar consumo agregado, evitar abuso persistente e garantir uso proporcional de recursos compartilhados. A ausência deste controle permite consumo excessivo por um único consumidor, impacto em múltiplos tenants e perda de previsibilidade operacional.</t>
  </si>
  <si>
    <t>Consumo abusivo de recursos, impacto em tenants, degradação de serviço e perda de controle sobre uso contratado ou autorizado.</t>
  </si>
  <si>
    <t>Traffic Protection / API Governance</t>
  </si>
  <si>
    <t>Configuração de quotas, relatórios de consumo, logs de excedente, política por tenant/aplicação.</t>
  </si>
  <si>
    <t>Teste de extrapolação de quota, validação de bloqueio após limite, revisão de relatórios de consumo e políticas por consumidor.</t>
  </si>
  <si>
    <t>VIVO.SEGURA.APIS.016</t>
  </si>
  <si>
    <t>Origin Restriction</t>
  </si>
  <si>
    <t>APIs devem restringir origens autorizadas por meio de controles como IP allowlisting, CIDR filtering, validação de headers encaminhados, segmentação de consumidores e políticas de origem confiável. O controle reduz a superfície de exposição e impede consumo a partir de redes, origens ou intermediários não autorizados. A ausência deste controle permite acesso indevido por origens não previstas, abuso de conectividade e exploração por caminhos não governados.</t>
  </si>
  <si>
    <t>Acesso a partir de origem não autorizada, abuso de redes confiáveis, exposição indevida e bypass de perímetro lógico.</t>
  </si>
  <si>
    <t>API8 Security Misconfiguration</t>
  </si>
  <si>
    <t>Network Security / API Security</t>
  </si>
  <si>
    <t>Lista de origens autorizadas, regras CIDR, validação de Forwarded Header, logs de bloqueio por origem.</t>
  </si>
  <si>
    <t>Teste com IP não autorizado, tentativa com header manipulado, revisão de CIDR, validação de origem real em proxy/gateway.</t>
  </si>
  <si>
    <t>VIVO.SEGURA.APIS.017</t>
  </si>
  <si>
    <t>Traffic Inspection</t>
  </si>
  <si>
    <t>Todo tráfego de API deve ser inspecionado quanto a protocolo, contrato, esquema, conteúdo, payload e comportamento esperado, incluindo suporte a REST, SOAP, GraphQL, gRPC e padrões aplicáveis. O controle é necessário para identificar payloads maliciosos, violações de contrato, tentativas de injeção, mass assignment e abuso de protocolo. A ausência deste controle permite que requisições malformadas ou maliciosas alcancem backends sem validação adequada.</t>
  </si>
  <si>
    <t>Integridade / Confidencialidade</t>
  </si>
  <si>
    <t>Injeção, manipulação de payload, exploração de campos inesperados, vazamento de dados e abuso de protocolo.</t>
  </si>
  <si>
    <t>API3 Broken Object Property Level Authorization; API8 Security Misconfiguration; API10 Unsafe Consumption of APIs; A03 Injection</t>
  </si>
  <si>
    <t>Application Security / API Security</t>
  </si>
  <si>
    <t>Políticas de inspeção no gateway/WAAP, regras de schema, logs de bloqueio, evidência de inspeção request/response.</t>
  </si>
  <si>
    <t>Teste com payload malicioso, campos extras, queries GraphQL profundas, violação de schema e análise de bloqueios.</t>
  </si>
  <si>
    <t>VIVO.SEGURA.APIS.018</t>
  </si>
  <si>
    <t>Threat Detection</t>
  </si>
  <si>
    <t>APIs devem possuir mecanismos de detecção de ameaças capazes de identificar assinaturas, anomalias, indicadores de comprometimento, padrões de ataque, abuso automatizado e comportamentos suspeitos. O controle deve alimentar plataformas de monitoramento e resposta com eventos acionáveis. A ausência deste controle reduz a capacidade de identificar ataques em andamento e aumenta o tempo de exposição e resposta.</t>
  </si>
  <si>
    <t>Integridade / Disponibilidade</t>
  </si>
  <si>
    <t>Ataques não detectados, exploração prolongada, credential stuffing, abuso automatizado, comprometimento silencioso e maior tempo de resposta.</t>
  </si>
  <si>
    <t>API2 Broken Authentication; API4 Unrestricted Resource Consumption; API8 Security Misconfiguration; API10 Unsafe Consumption of APIs</t>
  </si>
  <si>
    <t>Threat Protection / Detection Engineering</t>
  </si>
  <si>
    <t>Detectivo</t>
  </si>
  <si>
    <t>Alertas de ameaça, eventos SIEM, logs WAAP/API Security, IOC matches, baseline de detecção.</t>
  </si>
  <si>
    <t>Simulação de ataques conhecidos, teste de credential stuffing, validação de alertas SIEM, replay de payloads maliciosos.</t>
  </si>
  <si>
    <t>VIVO.SEGURA.APIS.019</t>
  </si>
  <si>
    <t>Threat Prevention</t>
  </si>
  <si>
    <t>APIs devem possuir mecanismos capazes de bloquear, mitigar ou impedir requisições maliciosas, abuso automatizado, tentativas de exploração e padrões de ataque conhecidos ou comportamentais. O controle deve atuar antes que o tráfego malicioso alcance sistemas internos. A ausência deste controle transforma detecção em capacidade apenas observacional, sem contenção efetiva do ataque.</t>
  </si>
  <si>
    <t>Exploração bem-sucedida de vulnerabilidades, indisponibilidade, comprometimento de backend e falha de contenção.</t>
  </si>
  <si>
    <t>API2 Broken Authentication; API4 Unrestricted Resource Consumption; API8 Security Misconfiguration; API10 Unsafe Consumption of APIs; A03 Injection</t>
  </si>
  <si>
    <t>Threat Protection / Application Security</t>
  </si>
  <si>
    <t>Regras de bloqueio, políticas WAAP/WAF, logs de mitigação, evidência de virtual patching e bloqueio automático.</t>
  </si>
  <si>
    <t>Teste de bloqueio com payloads OWASP, validação de políticas de prevenção, simulação de exploração e análise de eventos bloqueados.</t>
  </si>
  <si>
    <t>VIVO.SEGURA.APIS.020</t>
  </si>
  <si>
    <t>Behavioral Monitoring</t>
  </si>
  <si>
    <t>APIs devem monitorar comportamento de consumidores, sessões, entidades, workloads e padrões de uso para identificar desvios, abuso de fluxos de negócio, automação maliciosa e uso anômalo. O controle complementa detecção baseada em assinatura, permitindo identificação de ameaças desconhecidas. A ausência deste controle dificulta identificação de abuso legítimo-aparente, fraude e ataques de baixa intensidade.</t>
  </si>
  <si>
    <t>Integridade / Autorização</t>
  </si>
  <si>
    <t>Abuso de fluxos sensíveis, fraude, automação maliciosa, account takeover e exploração comportamental não detectada.</t>
  </si>
  <si>
    <t>API6 Unrestricted Access to Sensitive Business Flows; API10 Unsafe Consumption of APIs</t>
  </si>
  <si>
    <t>Threat Protection / Behavioral Security</t>
  </si>
  <si>
    <t>Perfis comportamentais, baselines, alertas UEBA, eventos de anomalia e dashboards de consumidores.</t>
  </si>
  <si>
    <t>Simulação de comportamento anômalo, teste de automação lenta, validação de baseline e revisão de alertas comportamentais.</t>
  </si>
  <si>
    <t>VIVO.SEGURA.APIS.021</t>
  </si>
  <si>
    <t>Runtime Protection</t>
  </si>
  <si>
    <t>APIs e workloads devem possuir proteção em tempo de execução para identificar e bloquear comportamentos maliciosos durante o processamento, incluindo SSRF, exploração dinâmica, violações de política, execução indevida e tentativas de manipulação em runtime. A ausência deste controle permite exploração após implantação, especialmente em cenários em que vulnerabilidades não foram eliminadas no desenvolvimento.</t>
  </si>
  <si>
    <t>Exploração em runtime, SSRF, execução indevida, comprometimento de workload e evasão de controles preventivos.</t>
  </si>
  <si>
    <t>API7 Server Side Request Forgery; API10 Unsafe Consumption of APIs; A03 Injection; A05 Security Misconfiguration</t>
  </si>
  <si>
    <t>Runtime Security / Application Security</t>
  </si>
  <si>
    <t>Eventos de runtime protection, logs de bloqueio, políticas RASP/API Security/CNAPP, alertas de execução anômala.</t>
  </si>
  <si>
    <t>Teste SSRF, simulação de payload em runtime, validação de bloqueio, teste DAST autenticado e revisão de eventos.</t>
  </si>
  <si>
    <t>VIVO.SEGURA.APIS.022</t>
  </si>
  <si>
    <t>Attack Surface Monitoring</t>
  </si>
  <si>
    <t>APIs devem possuir monitoramento contínuo da superfície de exposição, incluindo descoberta de endpoints, shadow APIs, zombie APIs, APIs externas, mudanças de exposição e divergências em relação ao inventário aprovado. O controle é necessário porque ativos desconhecidos não recebem controles, telemetria ou governança. A ausência deste controle cria pontos cegos exploráveis por atacantes.</t>
  </si>
  <si>
    <t>Confidencialidade / Governança</t>
  </si>
  <si>
    <t>Shadow APIs, exposição não autorizada, endpoints esquecidos, inventário incorreto e aumento da superfície de ataque.</t>
  </si>
  <si>
    <t>API9 Improper Inventory Management; API8 Security Misconfiguration</t>
  </si>
  <si>
    <t>Governance &amp; Visibility / API Security</t>
  </si>
  <si>
    <t>Relatórios de descoberta, inventário de APIs, alertas de shadow API, evidência de correlação com CMDB/API catalog.</t>
  </si>
  <si>
    <t>Varredura ativa/passiva, comparação com inventário, teste de exposição externa e revisão de APIs não catalogadas.</t>
  </si>
  <si>
    <t>VIVO.SEGURA.APIS.023</t>
  </si>
  <si>
    <t>Logging</t>
  </si>
  <si>
    <t>Toda API deve registrar eventos relevantes de processamento, autenticação, autorização, erros, exceções, alterações de configuração e atividades administrativas. Os logs devem ser estruturados, consistentes e suficientes para investigação, monitoramento e auditoria. A ausência deste controle reduz a capacidade de identificar incidentes, reconstruir eventos e suportar processos de investigação forense.</t>
  </si>
  <si>
    <t>Integridade / Rastreabilidade</t>
  </si>
  <si>
    <t>Falta de rastreabilidade, dificuldade de investigação, incapacidade de comprovar eventos e aumento do tempo de resposta a incidentes.</t>
  </si>
  <si>
    <t>API8 Security Misconfiguration; API10 Unsafe Consumption of APIs</t>
  </si>
  <si>
    <t>Audit &amp; Traceability</t>
  </si>
  <si>
    <t>Logs estruturados, políticas de retenção, documentação de eventos registrados.</t>
  </si>
  <si>
    <t>Revisão de logs, validação de eventos obrigatórios, análise de retenção e cobertura de auditoria.</t>
  </si>
  <si>
    <t>VIVO.SEGURA.APIS.024</t>
  </si>
  <si>
    <t>Audit Logging</t>
  </si>
  <si>
    <t>Eventos relacionados a segurança, autenticação, autorização, administração, mudanças de configuração e acesso a dados sensíveis devem gerar trilhas de auditoria completas, imutáveis e rastreáveis. O controle é necessário para suportar auditorias, compliance, investigações e responsabilização. A ausência deste controle impede comprovação formal de ações executadas.</t>
  </si>
  <si>
    <t>Integridade / Não Repúdio</t>
  </si>
  <si>
    <t>Impossibilidade de auditoria, falhas regulatórias, ausência de evidências e dificuldade de responsabilização.</t>
  </si>
  <si>
    <t>Audit &amp; Compliance</t>
  </si>
  <si>
    <t>Trilhas de auditoria, registros imutáveis, evidências de retenção e integridade.</t>
  </si>
  <si>
    <t>Auditoria de trilhas, validação de imutabilidade, análise de retenção e testes de consulta histórica.</t>
  </si>
  <si>
    <t>VIVO.SEGURA.APIS.025</t>
  </si>
  <si>
    <t>Security Event Logging</t>
  </si>
  <si>
    <t>Eventos de segurança devem ser registrados e classificados de forma adequada para permitir monitoramento, correlação e resposta. Devem incluir tentativas de autenticação falha, bloqueios, violações de política, mudanças críticas e indicadores de ameaça. A ausência deste controle dificulta detecção e resposta a ataques.</t>
  </si>
  <si>
    <t>Ataques não detectados, perda de visibilidade operacional e falha em processos de resposta.</t>
  </si>
  <si>
    <t>Security Monitoring</t>
  </si>
  <si>
    <t>Eventos enviados ao SIEM, classificação de severidade, dashboards de segurança.</t>
  </si>
  <si>
    <t>Simulação de eventos, validação de ingestão SIEM e análise de cobertura de eventos críticos.</t>
  </si>
  <si>
    <t>VIVO.SEGURA.APIS.026</t>
  </si>
  <si>
    <t>Telemetry &amp; Observability</t>
  </si>
  <si>
    <t>APIs devem gerar telemetria abrangente, incluindo métricas, logs, traces e eventos operacionais, permitindo monitoramento contínuo da disponibilidade, segurança e desempenho. A ausência deste controle cria pontos cegos operacionais e reduz a capacidade de gestão baseada em evidências.</t>
  </si>
  <si>
    <t>Disponibilidade / Rastreabilidade</t>
  </si>
  <si>
    <t>Falta de visibilidade operacional, degradação não detectada e baixa capacidade de troubleshooting.</t>
  </si>
  <si>
    <t>API4 Unrestricted Resource Consumption; API8 Security Misconfiguration</t>
  </si>
  <si>
    <t>Observability &amp; Monitoring</t>
  </si>
  <si>
    <t>Métricas, traces distribuídos, dashboards, OpenTelemetry collectors.</t>
  </si>
  <si>
    <t>Revisão de dashboards, validação de métricas e traces, testes de observabilidade ponta a ponta.</t>
  </si>
  <si>
    <t>VIVO.SEGURA.APIS.027</t>
  </si>
  <si>
    <t>Traceability</t>
  </si>
  <si>
    <t>Toda transação deve ser rastreável ponta a ponta por meio de identificadores únicos, correlação de eventos e propagação de contexto entre componentes. O controle é necessário para reconstrução de fluxos, análise de incidentes e troubleshooting distribuído. A ausência deste controle dificulta a identificação da origem de falhas e ataques.</t>
  </si>
  <si>
    <t>Perda de rastreabilidade, investigação incompleta, falha de troubleshooting e baixa capacidade forense.</t>
  </si>
  <si>
    <t>Correlation IDs, traces distribuídos, logs correlacionados.</t>
  </si>
  <si>
    <t>Validação de propagação de contexto, rastreamento de transações e revisão de traces distribuídos.</t>
  </si>
  <si>
    <t>VIVO.SEGURA.APIS.028</t>
  </si>
  <si>
    <t>Event Correlation</t>
  </si>
  <si>
    <t>Eventos provenientes de APIs, gateways, IAM, aplicações, workloads e infraestrutura devem ser correlacionados para identificar padrões de ataque, anomalias e cadeias de eventos. O controle permite transformar eventos isolados em inteligência acionável. A ausência deste controle reduz a capacidade de detecção de ataques complexos.</t>
  </si>
  <si>
    <t>Ataques não correlacionados, baixa visibilidade de ameaças e resposta tardia.</t>
  </si>
  <si>
    <t>API10 Unsafe Consumption of APIs</t>
  </si>
  <si>
    <t>Security Monitoring / Threat Detection</t>
  </si>
  <si>
    <t>Regras SIEM, casos de uso, alertas correlacionados.</t>
  </si>
  <si>
    <t>Simulação de cadeia de ataque, validação de correlação e análise de casos de uso SIEM.</t>
  </si>
  <si>
    <t>VIVO.SEGURA.APIS.029</t>
  </si>
  <si>
    <t>Encryption in Transit</t>
  </si>
  <si>
    <t>Toda comunicação entre consumidores, APIs, serviços e componentes deve utilizar criptografia em trânsito baseada em protocolos seguros e aprovados, como TLS 1.2+ ou TLS 1.3. O controle protege dados contra interceptação, alteração e espionagem. A ausência deste controle permite captura de tráfego, MITM e exposição de informações sensíveis.</t>
  </si>
  <si>
    <t>Confidencialidade / Integridade</t>
  </si>
  <si>
    <t>Interceptação de dados, MITM, roubo de credenciais e vazamento de informações sensíveis.</t>
  </si>
  <si>
    <t>API8 Security Misconfiguration; A02 Cryptographic Failures</t>
  </si>
  <si>
    <t>Cryptography</t>
  </si>
  <si>
    <t>Configuração TLS, certificados válidos, evidência de protocolos aprovados.</t>
  </si>
  <si>
    <t>TLS scan, validação de cipher suites, testes de MITM e revisão de configuração TLS.</t>
  </si>
  <si>
    <t>VIVO.SEGURA.APIS.030</t>
  </si>
  <si>
    <t>Message Encryption</t>
  </si>
  <si>
    <t>Mensagens que trafegam por canais compartilhados ou que contenham dados sensíveis devem suportar criptografia de conteúdo, independentemente da proteção do canal. O controle protege o payload contra exposição indevida em trânsito ou armazenamento intermediário.</t>
  </si>
  <si>
    <t>Exposição de payloads sensíveis, vazamento de informações e quebra de confidencialidade.</t>
  </si>
  <si>
    <t>A02 Cryptographic Failures</t>
  </si>
  <si>
    <t>Cryptography / Data Protection</t>
  </si>
  <si>
    <t>Configuração JWE/XML Encryption, documentação criptográfica.</t>
  </si>
  <si>
    <t>Análise de payloads, validação de criptografia aplicada e tentativa de leitura sem chave.</t>
  </si>
  <si>
    <t>VIVO.SEGURA.APIS.031</t>
  </si>
  <si>
    <t>Field-Level Encryption</t>
  </si>
  <si>
    <t>Campos classificados como sensíveis devem possuir criptografia específica, mesmo quando o restante do payload não exigir proteção adicional. O controle reduz exposição de atributos críticos durante processamento e armazenamento.</t>
  </si>
  <si>
    <t>Exposição de PII, credenciais, dados financeiros ou regulados.</t>
  </si>
  <si>
    <t>Data Protection</t>
  </si>
  <si>
    <t>Configuração de criptografia de campo, inventário de dados protegidos.</t>
  </si>
  <si>
    <t>Revisão de payloads, validação de campos criptografados e testes de descriptografia autorizada.</t>
  </si>
  <si>
    <t>VIVO.SEGURA.APIS.032</t>
  </si>
  <si>
    <t>Digital Signature</t>
  </si>
  <si>
    <t>APIs devem suportar assinatura digital quando necessário para garantir autenticidade, integridade e não repúdio de mensagens. O controle é fundamental em integrações críticas, reguladas ou sensíveis. A ausência deste controle permite falsificação de mensagens e negação de autoria.</t>
  </si>
  <si>
    <t>Falsificação de mensagens, alteração indevida de conteúdo e disputas de autoria.</t>
  </si>
  <si>
    <t>Cryptography / Non-Repudiation</t>
  </si>
  <si>
    <t>Assinaturas JWS, XMLDSig, certificados de assinatura.</t>
  </si>
  <si>
    <t>Validação de assinatura, tentativa de alteração de payload e verificação de integridade.</t>
  </si>
  <si>
    <t>VIVO.SEGURA.APIS.033</t>
  </si>
  <si>
    <t>Integrity Validation</t>
  </si>
  <si>
    <t>APIs devem validar a integridade de mensagens, tokens, contratos e artefatos utilizados no processamento. O controle assegura que dados não foram alterados de forma indevida durante transmissão ou armazenamento.</t>
  </si>
  <si>
    <t>Manipulação de dados, corrupção de mensagens e fraude.</t>
  </si>
  <si>
    <t>Cryptography / Integrity</t>
  </si>
  <si>
    <t>Hashes, validações criptográficas, verificações de integridade.</t>
  </si>
  <si>
    <t>Alteração controlada de payload, validação de hash e revisão de mecanismos de verificação.</t>
  </si>
  <si>
    <t>VIVO.SEGURA.APIS.034</t>
  </si>
  <si>
    <t>Certificate Validation</t>
  </si>
  <si>
    <t>Certificados utilizados por APIs e componentes devem ser validados quanto à cadeia de confiança, expiração, revogação, emissor e finalidade. O controle evita aceitação de certificados inválidos ou comprometidos.</t>
  </si>
  <si>
    <t>MITM, aceitação de certificados falsos, comprometimento de confiança e spoofing.</t>
  </si>
  <si>
    <t>Cryptography / Identity Security</t>
  </si>
  <si>
    <t>Cadeia de certificados, OCSP/CRL, logs de validação.</t>
  </si>
  <si>
    <t>Teste com certificado expirado, revogado ou não confiável e análise de rejeição.</t>
  </si>
  <si>
    <t>VIVO.SEGURA.APIS.035</t>
  </si>
  <si>
    <t>Key Management</t>
  </si>
  <si>
    <t>Chaves criptográficas devem possuir ciclo de vida gerenciado, incluindo geração, armazenamento, distribuição, rotação, revogação e descarte seguro. O controle garante sustentabilidade da criptografia adotada.</t>
  </si>
  <si>
    <t>Comprometimento criptográfico, vazamento de chaves, quebra de confidencialidade e integridade.</t>
  </si>
  <si>
    <t>Inventário de chaves, políticas de rotação, evidências KMS/HSM.</t>
  </si>
  <si>
    <t>Auditoria de chaves, validação de rotação e revisão de segregação de acesso.</t>
  </si>
  <si>
    <t>VIVO.SEGURA.APIS.036</t>
  </si>
  <si>
    <t>Cryptographic Policy Enforcement</t>
  </si>
  <si>
    <t>Algoritmos, tamanhos de chave, protocolos e mecanismos criptográficos devem seguir políticas corporativas aprovadas e requisitos regulatórios aplicáveis. O controle evita uso de algoritmos fracos, obsoletos ou não homologados.</t>
  </si>
  <si>
    <t>Uso de criptografia insegura, exposição regulatória e comprometimento de dados.</t>
  </si>
  <si>
    <t>Cryptography Governance</t>
  </si>
  <si>
    <t>Política criptográfica, baseline de algoritmos, inventário de implementações.</t>
  </si>
  <si>
    <t>Revisão de configuração criptográfica, TLS scan, auditoria de algoritmos e validação de conformidade.</t>
  </si>
  <si>
    <t>VIVO.SEGURA.APIS.037</t>
  </si>
  <si>
    <t>Input Validation</t>
  </si>
  <si>
    <t>Todas as APIs devem validar entradas antes do processamento, considerando tipo, formato, tamanho, intervalo, conteúdo e estrutura esperada. A validação deve seguir abordagem positiva, aceitando apenas entradas explicitamente permitidas. A ausência deste controle permite exploração por entradas malformadas, injeção, manipulação de parâmetros e execução de fluxos não previstos.</t>
  </si>
  <si>
    <t>Injeção, manipulação de parâmetros, exploração de entradas malformadas e comprometimento da lógica de negócio.</t>
  </si>
  <si>
    <t>API3 Broken Object Property Level Authorization; API10 Unsafe Consumption of APIs; A03 Injection</t>
  </si>
  <si>
    <t>Application Security / Data Protection</t>
  </si>
  <si>
    <t>Regras de validação, schemas, testes unitários, documentação de formatos aceitos.</t>
  </si>
  <si>
    <t>Teste com entradas inválidas, fuzzing, validação de tipos, tamanhos, formatos e payloads malformados.</t>
  </si>
  <si>
    <t>VIVO.SEGURA.APIS.038</t>
  </si>
  <si>
    <t>Schema Validation</t>
  </si>
  <si>
    <t>Payloads de entrada e saída devem ser validados contra esquemas aprovados, como JSON Schema, XML Schema ou especificações OpenAPI. O controle assegura que somente estruturas compatíveis com o contrato sejam processadas. A ausência deste controle permite campos inesperados, tipos incompatíveis, abuso de estrutura e exposição indevida de propriedades.</t>
  </si>
  <si>
    <t>Mass assignment, campos inesperados, abuso de estrutura, processamento indevido e falhas de contrato.</t>
  </si>
  <si>
    <t>API3 Broken Object Property Level Authorization; API8 Security Misconfiguration</t>
  </si>
  <si>
    <t>Schemas aprovados, validação no gateway/backend, logs de rejeição, especificação OpenAPI.</t>
  </si>
  <si>
    <t>Envio de campos extras, payload fora do schema, tipos incompatíveis e validação de rejeição automática.</t>
  </si>
  <si>
    <t>VIVO.SEGURA.APIS.039</t>
  </si>
  <si>
    <t>Contract Validation</t>
  </si>
  <si>
    <t>APIs devem validar aderência entre implementação, especificação publicada e contrato aprovado, incluindo rotas, métodos, parâmetros, respostas, formatos e versões. O controle reduz desvios entre documentação e comportamento real. A ausência deste controle permite drift de contrato, exposição de endpoints não documentados e comportamento não governado.</t>
  </si>
  <si>
    <t>Integridade / Governança</t>
  </si>
  <si>
    <t>Drift de contrato, shadow behavior, endpoints não documentados e falhas de interoperabilidade segura.</t>
  </si>
  <si>
    <t>API9 Improper Inventory Management; API10 Unsafe Consumption of APIs</t>
  </si>
  <si>
    <t>API Governance / Application Security</t>
  </si>
  <si>
    <t>Especificação OpenAPI/AsyncAPI, validação de contrato, relatórios de compliance de contrato.</t>
  </si>
  <si>
    <t>Contract testing, comparação implementação versus OpenAPI, teste de breaking changes e análise de endpoints não documentados.</t>
  </si>
  <si>
    <t>VIVO.SEGURA.APIS.040</t>
  </si>
  <si>
    <t>Content Validation</t>
  </si>
  <si>
    <t>APIs devem validar o conteúdo semântico dos payloads além da estrutura formal, identificando campos inesperados, conteúdo proibido, tentativas de mass assignment, payloads maliciosos e inconsistências de negócio. A ausência deste controle permite que payloads estruturalmente válidos explorem lógica de negócio ou exponham dados indevidos.</t>
  </si>
  <si>
    <t>Mass assignment, injeção semântica, manipulação de objetos, exposição indevida e abuso de lógica.</t>
  </si>
  <si>
    <t>Regras de validação de conteúdo, logs de bloqueio, políticas de inspeção e testes de payload.</t>
  </si>
  <si>
    <t>Teste com campos inesperados, mass assignment, payloads semanticamente inválidos e validação de bloqueio.</t>
  </si>
  <si>
    <t>VIVO.SEGURA.APIS.041</t>
  </si>
  <si>
    <t>Data Sanitization</t>
  </si>
  <si>
    <t>Dados recebidos por APIs devem ser sanitizados antes do processamento quando houver risco de interpretação indevida por bancos de dados, shells, browsers, parsers ou sistemas downstream. O controle neutraliza entradas potencialmente perigosas e reduz risco de SQL Injection, XSS, Command Injection e ataques similares. A ausência deste controle permite execução de conteúdo malicioso.</t>
  </si>
  <si>
    <t>SQL Injection, XSS, command injection, manipulação de conteúdo e comprometimento de sistemas downstream.</t>
  </si>
  <si>
    <t>A03 Injection; API10 Unsafe Consumption of APIs</t>
  </si>
  <si>
    <t>Application Security / Secure Coding</t>
  </si>
  <si>
    <t>Bibliotecas de sanitização, padrões de codificação, evidência de validação no código e testes AppSec.</t>
  </si>
  <si>
    <t>SAST, DAST, payloads de injeção, testes OWASP e revisão de tratamento de entrada.</t>
  </si>
  <si>
    <t>VIVO.SEGURA.APIS.042</t>
  </si>
  <si>
    <t>Output Encoding</t>
  </si>
  <si>
    <t>APIs devem aplicar codificação de saída compatível com o contexto de consumo, como JSON, HTML, XML, URL ou headers HTTP, impedindo que dados retornados sejam interpretados como código executável. A ausência deste controle permite XSS refletido ou armazenado, injeção em consumidores e propagação de conteúdo malicioso.</t>
  </si>
  <si>
    <t>XSS, injeção em consumidores, exposição indevida e execução de conteúdo não confiável.</t>
  </si>
  <si>
    <t>Padrões de output encoding, testes AppSec, headers de resposta e revisão de código.</t>
  </si>
  <si>
    <t>Testes XSS, validação de encoding por contexto, DAST e revisão de payloads de resposta.</t>
  </si>
  <si>
    <t>VIVO.SEGURA.APIS.043</t>
  </si>
  <si>
    <t>Allowlisting</t>
  </si>
  <si>
    <t>APIs devem adotar allowlisting sempre que possível para validar valores, formatos, operações, métodos, campos e parâmetros permitidos. O controle implementa validação positiva e reduz a aceitação de entradas inesperadas. A ausência deste controle obriga dependência de bloqueios negativos, que são mais frágeis contra variações de ataque.</t>
  </si>
  <si>
    <t>Aceitação de valores não previstos, bypass de validação, manipulação de parâmetros e exploração de lógica.</t>
  </si>
  <si>
    <t>API3 Broken Object Property Level Authorization; API10 Unsafe Consumption of APIs</t>
  </si>
  <si>
    <t>Listas de valores permitidos, validação de enum, regras de schema e testes de rejeição.</t>
  </si>
  <si>
    <t>Teste com valores fora da lista, métodos não permitidos, formatos inválidos e validação de bloqueio.</t>
  </si>
  <si>
    <t>VIVO.SEGURA.APIS.044</t>
  </si>
  <si>
    <t>Data Masking</t>
  </si>
  <si>
    <t>APIs que retornam dados sensíveis devem aplicar mascaramento dinâmico, estático, condicional ou baseado em papel, conforme contexto e autorização do consumidor. O controle reduz exposição de PII, dados financeiros, credenciais e atributos regulados. A ausência deste controle permite visualização indevida de dados sensíveis por consumidores sem privilégio.</t>
  </si>
  <si>
    <t>Vazamento de PII, exposição de dados regulados, violação LGPD/GDPR e risco reputacional.</t>
  </si>
  <si>
    <t>API3 Broken Object Property Level Authorization; A02 Cryptographic Failures</t>
  </si>
  <si>
    <t>Data Protection / Privacy</t>
  </si>
  <si>
    <t>Regras de masking, classificação de dados, evidência de resposta mascarada e política de acesso.</t>
  </si>
  <si>
    <t>Teste com diferentes perfis de acesso, validação de resposta mascarada e revisão de campos sensíveis.</t>
  </si>
  <si>
    <t>VIVO.SEGURA.APIS.045</t>
  </si>
  <si>
    <t>Data Redaction</t>
  </si>
  <si>
    <t>APIs e seus mecanismos de logging devem remover ou ocultar dados sensíveis quando estes não forem necessários para processamento, resposta ou auditoria. O controle deve abranger PII, credenciais, tokens, segredos e dados regulados. A ausência deste controle expõe informações sensíveis em logs, respostas, traces e integrações downstream.</t>
  </si>
  <si>
    <t>Vazamento de credenciais, PII em logs, exposição regulatória e risco de uso indevido de informações sensíveis.</t>
  </si>
  <si>
    <t>Regras de redaction, logs sanitizados, política de logging seguro e evidência de remoção de dados.</t>
  </si>
  <si>
    <t>Revisão de logs, teste com payload contendo PII/secrets, validação de redaction em respostas e traces.</t>
  </si>
  <si>
    <t>VIVO.SEGURA.APIS.046</t>
  </si>
  <si>
    <t>Data Minimization</t>
  </si>
  <si>
    <t>APIs devem retornar, processar e armazenar apenas os dados estritamente necessários para a finalidade da operação. O controle reduz exposição excessiva, limita impacto de vazamentos e apoia princípios de privacidade e necessidade. A ausência deste controle permite overexposure de atributos, vazamento de dados não solicitados e aumento de escopo regulatório.</t>
  </si>
  <si>
    <t>Exposição excessiva de dados, violação de minimização, aumento de impacto em incidentes e risco regulatório.</t>
  </si>
  <si>
    <t>API3 Broken Object Property Level Authorization; API6 Unrestricted Access to Sensitive Business Flows</t>
  </si>
  <si>
    <t>Contratos de resposta, classificação de dados, evidência de field filtering e privacy review.</t>
  </si>
  <si>
    <t>Comparação contrato versus resposta real, teste com perfis diferentes, revisão de campos retornados e análise LGPD.</t>
  </si>
  <si>
    <t>VIVO.SEGURA.APIS.047</t>
  </si>
  <si>
    <t>Tokenization</t>
  </si>
  <si>
    <t>Dados sensíveis processados por APIs devem ser substituídos por tokens sem valor explorável direto quando o dado original não for necessário. O controle reduz exposição de dados críticos e viabiliza processamento seguro em ambientes intermediários. A ausência deste controle aumenta risco de vazamento de dados regulados, especialmente dados financeiros e identificadores sensíveis.</t>
  </si>
  <si>
    <t>Vazamento de dados sensíveis, exposição de PAN/PII, fraude e ampliação do escopo regulatório.</t>
  </si>
  <si>
    <t>Configuração de tokenização, cofre de tokens, evidência de reversibilidade controlada e logs de acesso.</t>
  </si>
  <si>
    <t>Teste de tokenização, tentativa de recuperar valor sem autorização, validação de formato e revisão de cofre.</t>
  </si>
  <si>
    <t>VIVO.SEGURA.APIS.048</t>
  </si>
  <si>
    <t>Payload Protection</t>
  </si>
  <si>
    <t>APIs que trafegam payloads sensíveis devem aplicar proteção de conteúdo por criptografia, tokenização, assinatura, proteção objeto-a-objeto ou mecanismos equivalentes, especialmente quando houver intermediários. O controle reduz risco de exposição mesmo em caso de comprometimento parcial do canal ou componente intermediário. A ausência deste controle expõe conteúdo sensível durante trânsito, armazenamento temporário ou integração.</t>
  </si>
  <si>
    <t>Exposição de payload sensível, adulteração de conteúdo, vazamento em intermediários e quebra de confidencialidade ponta a ponta.</t>
  </si>
  <si>
    <t>Data Protection / Cryptography</t>
  </si>
  <si>
    <t>Configuração JWE, criptografia de payload, evidência de proteção objeto-a-objeto e classificação de payload.</t>
  </si>
  <si>
    <t>Inspeção de payload, tentativa de leitura sem chave, validação de criptografia e teste de integridade.</t>
  </si>
  <si>
    <t>VIVO.SEGURA.APIS.049</t>
  </si>
  <si>
    <t>Payload Size Limiting</t>
  </si>
  <si>
    <t>APIs devem impor limites máximos de tamanho para requisições e respostas, considerando Content-Length, transferência chunked, anexos, objetos aninhados e payloads binários. O controle reduz risco de exaustão de memória, processamento excessivo e ataques por payload gigante. A ausência deste controle permite consumo desproporcional de recursos e indisponibilidade.</t>
  </si>
  <si>
    <t>Exaustão de memória, indisponibilidade, degradação de serviço e abuso por payloads grandes.</t>
  </si>
  <si>
    <t>Resource Protection</t>
  </si>
  <si>
    <t>Configuração de limite de payload, logs de rejeição, política por endpoint.</t>
  </si>
  <si>
    <t>Teste com payload acima do limite, validação de rejeição, análise de consumo de memória e logs de bloqueio.</t>
  </si>
  <si>
    <t>VIVO.SEGURA.APIS.050</t>
  </si>
  <si>
    <t>Timeout Enforcement</t>
  </si>
  <si>
    <t>APIs devem aplicar timeouts para conexão, leitura, escrita, execução e ociosidade, evitando ocupação indefinida de recursos. O controle é necessário para mitigar slow requests, chamadas travadas, conexões ociosas e degradação por dependências lentas. A ausência deste controle permite esgotamento de threads, conexões e recursos de backend.</t>
  </si>
  <si>
    <t>Exaustão de conexões, threads ocupadas, degradação de backend e indisponibilidade por requisições lentas.</t>
  </si>
  <si>
    <t>Resource Protection / Resilience</t>
  </si>
  <si>
    <t>Configuração de timeout, logs de encerramento, métricas de latência e política de conexão.</t>
  </si>
  <si>
    <t>Teste slow request, conexão ociosa, chamada longa, validação de encerramento e métricas de timeout.</t>
  </si>
  <si>
    <t>VIVO.SEGURA.APIS.051</t>
  </si>
  <si>
    <t>Depth Limiting</t>
  </si>
  <si>
    <t>APIs que processam objetos aninhados, consultas GraphQL, filtros complexos ou estruturas recursivas devem impor limites de profundidade, alias, recursão e complexidade. O controle reduz risco de consultas desproporcionais e exaustão computacional. A ausência deste controle permite ataques de query complexity, recursion abuse e consumo excessivo de CPU/memória.</t>
  </si>
  <si>
    <t>Exaustão computacional, queries recursivas, degradação de serviço e abuso de estruturas complexas.</t>
  </si>
  <si>
    <t>Resource Protection / Application Security</t>
  </si>
  <si>
    <t>Configuração de depth limit, regras GraphQL, métricas de query complexity e logs de bloqueio.</t>
  </si>
  <si>
    <t>Teste de query profunda, alias abuse, consulta recursiva, validação de bloqueio e análise de custo.</t>
  </si>
  <si>
    <t>VIVO.SEGURA.APIS.052</t>
  </si>
  <si>
    <t>Resource Consumption Control</t>
  </si>
  <si>
    <t>APIs devem controlar consumo de CPU, memória, conexões, threads, pool de recursos e concorrência por consumidor ou requisição. O controle assegura uso proporcional e evita que chamadas específicas afetem disponibilidade geral. A ausência deste controle permite exaustão de recursos compartilhados, falhas em cascata e impacto multitenant.</t>
  </si>
  <si>
    <t>Exaustão de CPU, memória, conexões e impacto em múltiplos consumidores ou tenants.</t>
  </si>
  <si>
    <t>Resource Protection / Platform Security</t>
  </si>
  <si>
    <t>Métricas de recursos, limites de concorrência, quotas de execução e configuração de pools.</t>
  </si>
  <si>
    <t>Teste de concorrência, stress test controlado, validação de limites de CPU/memória e análise de degradação.</t>
  </si>
  <si>
    <t>VIVO.SEGURA.APIS.053</t>
  </si>
  <si>
    <t>Availability Protection</t>
  </si>
  <si>
    <t>APIs críticas devem implementar mecanismos de resiliência e proteção de disponibilidade, como circuit breaker, bulkhead isolation, load shedding, fail-fast, anti-DDoS e proteção baseada em taxa. O controle preserva continuidade operacional mesmo sob falhas, carga abusiva ou dependências degradadas. A ausência deste controle permite falhas em cascata, indisponibilidade sistêmica e impacto em serviços críticos.</t>
  </si>
  <si>
    <t>Indisponibilidade sistêmica, falha em cascata, degradação crítica e impacto operacional amplo.</t>
  </si>
  <si>
    <t>Resilience / Resource Protection</t>
  </si>
  <si>
    <t>Configuração de circuit breaker, bulkhead, anti-DDoS, métricas de disponibilidade e evidências de failover.</t>
  </si>
  <si>
    <t>Teste de falha controlada, chaos testing, carga abusiva, validação de circuit breaker e monitoramento de disponibilidade.</t>
  </si>
  <si>
    <t>VIVO.SEGURA.APIS.054</t>
  </si>
  <si>
    <t>API Discovery</t>
  </si>
  <si>
    <t>A organização deve possuir mecanismos contínuos de descoberta de APIs para identificar interfaces expostas, publicadas ou utilizadas no ambiente corporativo. O controle deve abranger descoberta ativa e passiva, permitindo identificar APIs não registradas, novas exposições e mudanças de comportamento. A ausência deste controle cria ativos desconhecidos, impossibilita governança e amplia a superfície de ataque.</t>
  </si>
  <si>
    <t>Governança / Disponibilidade</t>
  </si>
  <si>
    <t>APIs desconhecidas, exposição não monitorada, ausência de controles e aumento da superfície de ataque.</t>
  </si>
  <si>
    <t>API9 Improper Inventory Management</t>
  </si>
  <si>
    <t>Governance &amp; Visibility</t>
  </si>
  <si>
    <t>Inventário atualizado, relatórios de descoberta, dashboards de APIs identificadas.</t>
  </si>
  <si>
    <t>Comparação entre descoberta e catálogo oficial, varredura ativa/passiva e validação de cobertura.</t>
  </si>
  <si>
    <t>VIVO.SEGURA.APIS.055</t>
  </si>
  <si>
    <t>API Inventory</t>
  </si>
  <si>
    <t>Todas as APIs devem estar registradas em inventário corporativo contendo proprietário, criticidade, classificação de dados, ambiente, dependências, versão e status operacional. O controle assegura governança, rastreabilidade e gestão de ciclo de vida. A ausência deste controle impede gestão efetiva dos ativos expostos.</t>
  </si>
  <si>
    <t>APIs órfãs, ausência de responsabilidade definida, falhas de gestão e exposição indevida.</t>
  </si>
  <si>
    <t>Estratégico</t>
  </si>
  <si>
    <t>Catálogo corporativo de APIs, CMDB, registros de propriedade e classificação.</t>
  </si>
  <si>
    <t>Auditoria do inventário, comparação com APIs descobertas e validação de completude dos metadados.</t>
  </si>
  <si>
    <t>VIVO.SEGURA.APIS.056</t>
  </si>
  <si>
    <t>API Classification</t>
  </si>
  <si>
    <t>APIs devem ser classificadas conforme criticidade de negócio, exposição, sensibilidade dos dados processados, requisitos regulatórios e impacto operacional. O controle orienta aplicação proporcional de controles de segurança e monitoramento. A ausência deste controle gera tratamento homogêneo inadequado para APIs de diferentes níveis de risco.</t>
  </si>
  <si>
    <t>Proteção insuficiente para APIs críticas ou excesso de controles em APIs de baixo risco.</t>
  </si>
  <si>
    <t>Governance &amp; Risk Management</t>
  </si>
  <si>
    <t>Matriz de classificação, critérios corporativos, inventário classificado.</t>
  </si>
  <si>
    <t>Revisão da classificação, validação de critérios e amostragem de APIs críticas.</t>
  </si>
  <si>
    <t>VIVO.SEGURA.APIS.057</t>
  </si>
  <si>
    <t>Specification Analysis</t>
  </si>
  <si>
    <t>Especificações OpenAPI, AsyncAPI, GraphQL Schema e contratos equivalentes devem ser analisados para identificar riscos, inconsistências, exposições indevidas, falta de autenticação, uso inseguro de métodos e desvios de padrões corporativos. A ausência deste controle permite que vulnerabilidades sejam introduzidas ainda na definição da API.</t>
  </si>
  <si>
    <t>Contratos inseguros, exposição excessiva, autenticação ausente e falhas de design.</t>
  </si>
  <si>
    <t>Secure Design / Governance</t>
  </si>
  <si>
    <t>Relatórios de análise de especificação, evidências de revisão e aprovação arquitetural.</t>
  </si>
  <si>
    <t>Scan automatizado de OpenAPI, revisão manual e validação de aderência a padrões corporativos.</t>
  </si>
  <si>
    <t>VIVO.SEGURA.APIS.058</t>
  </si>
  <si>
    <t>Security Posture Assessment</t>
  </si>
  <si>
    <t>APIs devem ser continuamente avaliadas quanto à postura de segurança, considerando configuração, exposição, autenticação, autorização, criptografia, observabilidade e aderência a padrões corporativos. A ausência deste controle reduz visibilidade de desvios e deterioração da segurança ao longo do tempo.</t>
  </si>
  <si>
    <t>Configurações inseguras, exposição indevida, degradação de controles e aumento de risco residual.</t>
  </si>
  <si>
    <t>Security Posture Management</t>
  </si>
  <si>
    <t>Relatórios de postura, scorecards, dashboards de conformidade.</t>
  </si>
  <si>
    <t>Avaliação periódica, validação de score e revisão de recomendações geradas.</t>
  </si>
  <si>
    <t>VIVO.SEGURA.APIS.059</t>
  </si>
  <si>
    <t>Shadow API Discovery</t>
  </si>
  <si>
    <t>APIs não registradas, não aprovadas ou desconhecidas devem ser identificadas continuamente. O controle é necessário para impedir que APIs fora da governança corporativa permaneçam expostas sem controles adequados. A ausência deste controle cria pontos cegos exploráveis por atacantes.</t>
  </si>
  <si>
    <t>Governança / Confidencialidade</t>
  </si>
  <si>
    <t>APIs sem proteção, ausência de monitoramento, exposição não autorizada e risco operacional.</t>
  </si>
  <si>
    <t>Relatórios de Shadow APIs, evidência de tratamento e integração com inventário.</t>
  </si>
  <si>
    <t>Descoberta passiva, análise de tráfego e comparação com catálogo oficial.</t>
  </si>
  <si>
    <t>VIVO.SEGURA.APIS.060</t>
  </si>
  <si>
    <t>API Risk Assessment</t>
  </si>
  <si>
    <t>APIs devem ser submetidas a avaliações periódicas de risco considerando criticidade, exposição, ameaças, vulnerabilidades, requisitos regulatórios e impacto operacional. O controle orienta priorização de investimentos e aplicação de controles proporcionais ao risco.</t>
  </si>
  <si>
    <t>Subtratamento de APIs críticas, priorização inadequada e aumento do risco corporativo.</t>
  </si>
  <si>
    <t>Relatórios de risco, matriz de risco, classificação de criticidade.</t>
  </si>
  <si>
    <t>Revisão metodológica, validação de critérios e auditoria das avaliações realizadas.</t>
  </si>
  <si>
    <t>VIVO.SEGURA.APIS.061</t>
  </si>
  <si>
    <t>API Lifecycle Governance</t>
  </si>
  <si>
    <t>APIs devem possuir governança formal durante todo o ciclo de vida, incluindo concepção, desenvolvimento, publicação, operação, manutenção, versionamento e descontinuação. O controle garante que requisitos de segurança sejam aplicados de forma consistente em todas as fases.</t>
  </si>
  <si>
    <t>APIs sem governança, mudanças descontroladas, riscos acumulados e perda de rastreabilidade.</t>
  </si>
  <si>
    <t>Governance &amp; Lifecycle Management</t>
  </si>
  <si>
    <t>Processo formal de lifecycle, aprovações, registros de versionamento e descontinuação.</t>
  </si>
  <si>
    <t>Auditoria de processo, análise de mudanças e validação de gates de aprovação.</t>
  </si>
  <si>
    <t>VIVO.SEGURA.APIS.062</t>
  </si>
  <si>
    <t>Security Integration</t>
  </si>
  <si>
    <t>APIs devem integrar-se aos mecanismos corporativos de segurança, incluindo IAM, SIEM, SOAR, observabilidade, gestão de segredos, PKI e inteligência de ameaças. O controle assegura operação integrada e visibilidade corporativa. A ausência deste controle cria ilhas operacionais e reduz capacidade de resposta.</t>
  </si>
  <si>
    <t>Falta de visibilidade corporativa, baixa capacidade de resposta e inconsistência operacional.</t>
  </si>
  <si>
    <t>Security Architecture</t>
  </si>
  <si>
    <t>Integrações configuradas, fluxos documentados, evidência de ingestão e compartilhamento.</t>
  </si>
  <si>
    <t>Validação de integrações, testes de eventos e revisão arquitetural.</t>
  </si>
  <si>
    <t>VIVO.SEGURA.APIS.063</t>
  </si>
  <si>
    <t>Telemetry Sharing</t>
  </si>
  <si>
    <t>Telemetria produzida por APIs deve ser compartilhada com plataformas corporativas autorizadas para monitoramento, correlação, observabilidade e resposta a incidentes. O controle garante visibilidade integrada e geração de evidências operacionais.</t>
  </si>
  <si>
    <t>Disponibilidade / Governança</t>
  </si>
  <si>
    <t>Perda de visibilidade, falhas de correlação e incapacidade de resposta coordenada.</t>
  </si>
  <si>
    <t>Fluxos OTEL, integração SIEM/APM, dashboards e evidências de ingestão.</t>
  </si>
  <si>
    <t>Teste de envio de telemetria, validação de ingestão e rastreamento ponta a ponta.</t>
  </si>
  <si>
    <t>VIVO.SEGURA.APIS.064</t>
  </si>
  <si>
    <t>Security Data Exchange</t>
  </si>
  <si>
    <t>Informações de segurança relacionadas às APIs devem ser compartilhadas de forma estruturada entre plataformas corporativas, permitindo interoperabilidade, enriquecimento e automação. O controle reduz silos operacionais e melhora a eficiência da detecção e resposta.</t>
  </si>
  <si>
    <t>Dados inconsistentes, baixa interoperabilidade e limitações na resposta coordenada.</t>
  </si>
  <si>
    <t>Security Operations</t>
  </si>
  <si>
    <t>Integrações OCSF/STIX, fluxos de eventos e documentação de interoperabilidade.</t>
  </si>
  <si>
    <t>Validação de troca de eventos, testes de interoperabilidade e análise de consistência.</t>
  </si>
  <si>
    <t>VIVO.SEGURA.APIS.065</t>
  </si>
  <si>
    <t>Threat Intelligence Integration</t>
  </si>
  <si>
    <t>APIs e plataformas associadas devem consumir inteligência de ameaças relevante para identificar IOCs, campanhas, TTPs, reputação de IPs e indicadores aplicáveis ao contexto operacional. O controle permite adaptação contínua da defesa a ameaças emergentes.</t>
  </si>
  <si>
    <t>Disponibilidade / Integridade</t>
  </si>
  <si>
    <t>Falta de contexto de ameaça, resposta tardia e menor capacidade de prevenção.</t>
  </si>
  <si>
    <t>Threat Intelligence</t>
  </si>
  <si>
    <t>Feeds de inteligência, integração TIP, eventos enriquecidos e IOC matches.</t>
  </si>
  <si>
    <t>Simulação de IOC conhecido, validação de enriquecimento e revisão de integração com TIP.</t>
  </si>
  <si>
    <t>VIVO.SEGURA.APIS.066</t>
  </si>
  <si>
    <t>Secure SDLC Integration</t>
  </si>
  <si>
    <t>O desenvolvimento de APIs deve incorporar controles de segurança desde a concepção até a implantação, incluindo modelagem de ameaças, revisão arquitetural, requisitos de segurança, testes automatizados e validações antes da publicação. O controle assegura a aplicação do princípio Secure-by-Design e reduz a introdução de vulnerabilidades durante o desenvolvimento. A ausência deste controle aumenta significativamente o risco de falhas estruturais e vulnerabilidades em produção.</t>
  </si>
  <si>
    <t>Vulnerabilidades introduzidas em design, desenvolvimento e implantação, aumento de custo de correção e risco operacional.</t>
  </si>
  <si>
    <t>Secure Development</t>
  </si>
  <si>
    <t>Processo SDLC, gates de segurança, registros de revisão arquitetural e modelagem de ameaças.</t>
  </si>
  <si>
    <t>Auditoria SDLC, revisão de artefatos, validação de gates e rastreabilidade dos requisitos de segurança.</t>
  </si>
  <si>
    <t>VIVO.SEGURA.APIS.067</t>
  </si>
  <si>
    <t>SAST Integration</t>
  </si>
  <si>
    <t>O processo de desenvolvimento deve incorporar análise estática de código-fonte para identificar vulnerabilidades antes da compilação e implantação. O controle permite identificar falhas de codificação, uso inseguro de bibliotecas e violações de padrões de desenvolvimento seguro. A ausência deste controle aumenta a probabilidade de vulnerabilidades seguirem para produção.</t>
  </si>
  <si>
    <t>Vulnerabilidades em código-fonte, falhas de segurança não detectadas e aumento de exposição operacional.</t>
  </si>
  <si>
    <t>A03 Injection; A05 Security Misconfiguration; API10 Unsafe Consumption of APIs</t>
  </si>
  <si>
    <t>Application Security Testing</t>
  </si>
  <si>
    <t>Relatórios SAST, pipelines CI/CD, evidências de correção e baseline de vulnerabilidades.</t>
  </si>
  <si>
    <t>Execução de SAST, validação de findings e auditoria de correções implementadas.</t>
  </si>
  <si>
    <t>VIVO.SEGURA.APIS.068</t>
  </si>
  <si>
    <t>DAST Integration</t>
  </si>
  <si>
    <t>APIs devem ser submetidas a testes dinâmicos de segurança em ambiente controlado para identificar vulnerabilidades exploráveis em execução. O controle complementa o SAST ao validar comportamento real da aplicação. A ausência deste controle reduz a capacidade de identificar vulnerabilidades relacionadas à execução, configuração e integração.</t>
  </si>
  <si>
    <t>Vulnerabilidades exploráveis em runtime, falhas de autenticação, autorização e validação de entrada.</t>
  </si>
  <si>
    <t>API1 BOLA; API2 Broken Authentication; API10 Unsafe Consumption of APIs</t>
  </si>
  <si>
    <t>Relatórios DAST, evidências de execução, findings e plano de correção.</t>
  </si>
  <si>
    <t>Execução de DAST autenticado, pentest automatizado e validação dos resultados.</t>
  </si>
  <si>
    <t>VIVO.SEGURA.APIS.069</t>
  </si>
  <si>
    <t>SCA Integration</t>
  </si>
  <si>
    <t>Dependências, bibliotecas, frameworks e componentes utilizados por APIs devem ser continuamente analisados para identificar vulnerabilidades conhecidas, componentes obsoletos e riscos de supply chain. A ausência deste controle permite introdução de vulnerabilidades por componentes de terceiros.</t>
  </si>
  <si>
    <t>Vulnerabilidades em bibliotecas, exploração de componentes de terceiros e risco de supply chain.</t>
  </si>
  <si>
    <t>API10 Unsafe Consumption of APIs; A06 Vulnerable and Outdated Components</t>
  </si>
  <si>
    <t>Software Supply Chain Security</t>
  </si>
  <si>
    <t>Relatórios SCA, inventário de dependências, alertas CVE e plano de remediação.</t>
  </si>
  <si>
    <t>Scan SCA, validação de dependências vulneráveis e auditoria de componentes utilizados.</t>
  </si>
  <si>
    <t>VIVO.SEGURA.APIS.070</t>
  </si>
  <si>
    <t>Security Testing Automation</t>
  </si>
  <si>
    <t>Testes de segurança devem ser integrados aos pipelines de CI/CD e executados de forma automatizada sempre que houver alteração relevante de código, configuração ou dependências. O controle garante validação contínua da segurança. A ausência deste controle aumenta dependência de validações manuais e reduz escalabilidade do processo.</t>
  </si>
  <si>
    <t>Vulnerabilidades liberadas sem validação, inconsistência de testes e baixa maturidade DevSecOps.</t>
  </si>
  <si>
    <t>DevSecOps</t>
  </si>
  <si>
    <t>Pipelines CI/CD, evidências de execução automática, gates de aprovação.</t>
  </si>
  <si>
    <t>Revisão dos pipelines, validação de execução automática e auditoria dos resultados.</t>
  </si>
  <si>
    <t>VIVO.SEGURA.APIS.071</t>
  </si>
  <si>
    <t>Network Segmentation</t>
  </si>
  <si>
    <t>Ambientes que hospedam APIs devem implementar segmentação de rede compatível com criticidade, contexto de segurança e exposição dos serviços. O controle reduz movimentação lateral e limita propagação de comprometimentos. A ausência deste controle amplia impacto de incidentes e compromete o modelo Zero Trust.</t>
  </si>
  <si>
    <t>Confidencialidade / Disponibilidade</t>
  </si>
  <si>
    <t>Movimentação lateral, propagação de comprometimento e aumento da superfície de ataque.</t>
  </si>
  <si>
    <t>Diagramas de rede, ACLs, políticas SDN, regras de segmentação.</t>
  </si>
  <si>
    <t>Revisão de regras de rede, testes de conectividade e validação de isolamento.</t>
  </si>
  <si>
    <t>VIVO.SEGURA.APIS.072</t>
  </si>
  <si>
    <t>Microsegmentation</t>
  </si>
  <si>
    <t>Comunicações entre workloads, microsserviços e APIs devem ser controladas por políticas granulares baseadas em identidade, contexto e necessidade explícita de comunicação. O controle fortalece Zero Trust e reduz dependência de segmentação baseada apenas em rede. A ausência deste controle permite comunicação excessiva e expansão de impacto após comprometimento.</t>
  </si>
  <si>
    <t>Movimentação lateral entre workloads, abuso de comunicação interna e comprometimento ampliado.</t>
  </si>
  <si>
    <t>Network Security / Zero Trust</t>
  </si>
  <si>
    <t>Políticas de Service Mesh, regras de comunicação e evidência de isolamento.</t>
  </si>
  <si>
    <t>Teste de comunicação não autorizada, revisão de políticas e validação de enforcement.</t>
  </si>
  <si>
    <t>VIVO.SEGURA.APIS.073</t>
  </si>
  <si>
    <t>Workload Isolation</t>
  </si>
  <si>
    <t>APIs e componentes associados devem executar em ambientes isolados, reduzindo interferência entre workloads e limitando impacto de comprometimentos. O controle deve abranger containers, máquinas virtuais, namespaces e mecanismos equivalentes. A ausência deste controle aumenta risco de escape, movimentação lateral e comprometimento cruzado.</t>
  </si>
  <si>
    <t>Comprometimento cruzado, container escape, movimentação lateral e impacto ampliado.</t>
  </si>
  <si>
    <t>Workload Security</t>
  </si>
  <si>
    <t>Configuração Kubernetes, namespaces, políticas de isolamento e evidências de segregação.</t>
  </si>
  <si>
    <t>Testes de isolamento, revisão de namespaces e validação de políticas de execução.</t>
  </si>
  <si>
    <t>VIVO.SEGURA.APIS.074</t>
  </si>
  <si>
    <t>Environment Hardening</t>
  </si>
  <si>
    <t>Sistemas operacionais, containers, runtimes, plataformas de APIs e componentes associados devem seguir padrões de hardening aprovados pela organização. O controle reduz superfície de ataque e exposição a configurações inseguras. A ausência deste controle aumenta probabilidade de exploração por configurações inadequadas.</t>
  </si>
  <si>
    <t>Configurações inseguras, exploração facilitada e aumento da superfície de ataque.</t>
  </si>
  <si>
    <t>API8 Security Misconfiguration; A05 Security Misconfiguration</t>
  </si>
  <si>
    <t>Baselines de hardening, checklists CIS, relatórios de conformidade.</t>
  </si>
  <si>
    <t>Auditoria de configuração, validação CIS Benchmark e análise de desvios.</t>
  </si>
  <si>
    <t>VIVO.SEGURA.APIS.075</t>
  </si>
  <si>
    <t>Security Agent Enforcement</t>
  </si>
  <si>
    <t>Workloads críticos devem possuir agentes de segurança, monitoramento ou proteção em runtime quando exigido pela arquitetura corporativa. O controle garante visibilidade, detecção e enforcement contínuo de políticas de segurança. A ausência deste controle reduz capacidade operacional e de resposta.</t>
  </si>
  <si>
    <t>Baixa visibilidade, falhas de detecção e redução da capacidade de resposta.</t>
  </si>
  <si>
    <t>Runtime Security</t>
  </si>
  <si>
    <t>Inventário de agentes, dashboards operacionais e políticas de instalação obrigatória.</t>
  </si>
  <si>
    <t>Validação de agentes ativos, auditoria de cobertura e testes de telemetria.</t>
  </si>
  <si>
    <t>VIVO.SEGURA.APIS.076</t>
  </si>
  <si>
    <t>Secure Platform Baseline</t>
  </si>
  <si>
    <t>Plataformas utilizadas para hospedagem, processamento e exposição de APIs devem aderir a uma baseline corporativa de segurança contendo requisitos mínimos obrigatórios de configuração, proteção, observabilidade e governança. O controle assegura uniformidade e reduz riscos decorrentes de configurações divergentes. A ausência deste controle gera ambientes inconsistentes e aumento do risco operacional.</t>
  </si>
  <si>
    <t>Ambientes heterogêneos, configurações inseguras, falhas de compliance e aumento do risco residual.</t>
  </si>
  <si>
    <t>Infrastructure Security / Governance</t>
  </si>
  <si>
    <t>Baseline corporativa, relatórios CSPM/CNAPP, evidências de conformidade.</t>
  </si>
  <si>
    <t>Auditoria de baseline, análise de desvios, validação automática de conformidade e revisão arquitetural.</t>
  </si>
  <si>
    <t>VIVO.SEGURA.APLICAÇÃO.001</t>
  </si>
  <si>
    <t>As aplicações devem garantir que todas as informações trafegadas na rede, independente do protocolo, sejam protegidas contra interceptação e/ou alteração por pessoas e/ou equipamentos não autorizados, implementando os meios tecnológicos adequados para esta proteção. A proteção aplicada não deve impossibilitar a inspeção do tráfego por soluções autorizadas pela equipe de segurança.</t>
  </si>
  <si>
    <t>Sem criptografia, os dados trocados entre sistemas podem ser interceptados e lidos e alterados por atacantes. A criptografia garante que apenas o destinatário correto possa acessar as informações, protegendo a confidencialidade dos dados.</t>
  </si>
  <si>
    <t>Evidências de configurações com aplicação de certificados e/ou tunelamento criptorafado em todos os saltos de rede que possam abrir os pacotes para assegurar criptografia de fim a fim.</t>
  </si>
  <si>
    <t>Auditoria de sistemas e bordas e/ou Teste de penetração</t>
  </si>
  <si>
    <t>VIVO.SEGURA.APLICAÇÃO.002</t>
  </si>
  <si>
    <t>A aplicação ou serviço  não deve ser exposta diretamente a internet. Deve ser segregada por camadas de seguranças aderentes ao produto ou serviço (como GW's, FW, IPS, WAF...),  e manter o isolamento do trafego de rede desnecessário leste oeste, utilizando uma DMZ ou segmentação lógica de rede (L3/L4) e ACL restritiva.</t>
  </si>
  <si>
    <t>Evidência das configurações de Vlan's , ACL e isolamento norte sul com appliances ou serviços de segurança em linha.</t>
  </si>
  <si>
    <t>Auditoria nas proteções de rede evidenciadas e/ou teste de penetração.</t>
  </si>
  <si>
    <t>VIVO.SEGURA.APLICAÇÃO.003</t>
  </si>
  <si>
    <t>A aplicação precisa implementar pinagem de certificado digital entre o client e o servidor.</t>
  </si>
  <si>
    <t>VIVO.SEGURA.APLICAÇÃO.004</t>
  </si>
  <si>
    <t>As aplicações devem prover um mecanismo seguro para impedir ataques do tipo MitM (Man in the Middle) e garantir que tanto o servidor quanto o cliente (entendendo por cliente a aplicação acessando um servidor) de forma a gerar não repúdio.</t>
  </si>
  <si>
    <t>Corretivo</t>
  </si>
  <si>
    <t>Auditoria de sistemas de bordas, scan de vulnerabilidades e/ou teste de penetração.</t>
  </si>
  <si>
    <t>VIVO.SEGURA.APLICAÇÃO.005</t>
  </si>
  <si>
    <t>A aplicação deve ser capaz de ofuscar dados sensíveis para que seu consumo seja realizado apenas em sua real necessidade e escopo.</t>
  </si>
  <si>
    <t xml:space="preserve">Evidencia do mecanismo de criptografia ou ofuscação não sucetíveis a ataques de força bruta (Ex. Cripto+salt ou chave publico privada). </t>
  </si>
  <si>
    <t>Auditoria de aplicação e/ou teste de penetração.</t>
  </si>
  <si>
    <t>VIVO.SEGURA.APLICAÇÃO.006</t>
  </si>
  <si>
    <t>Evidências do controle aplicado no código fonte ou relatório de análise de código na esteira de Sec Ops.</t>
  </si>
  <si>
    <t>Análise na esteira de SecOps, Scan de vulnerabilidades e/ou teste de penetração.</t>
  </si>
  <si>
    <t>VIVO.SEGURA.APLICAÇÃO.007</t>
  </si>
  <si>
    <t>A aplicação precisa estar protegida com um Web Application Firewall (WAF) com bloqueio do OWASP top 10, Rate Limit compatível com produto/serviço, captcha transparente em telas de login, atendimento a demais políticas da companhia e eventuais restrições classificadas como necessárias durante análise de segurança em tempo de projeto.</t>
  </si>
  <si>
    <t>impacto indireto</t>
  </si>
  <si>
    <t>Evidências de configurações aplicadas na camada de proteção.</t>
  </si>
  <si>
    <t>VIVO.SEGURA.APLICAÇÃO.008</t>
  </si>
  <si>
    <t>A análise de arquitetura de segurança deve determinar se antes do deploy em produção é necessário executar um scan de vulnerabilidaes ou teste de penetração.  Todas  os riscos e vulnerabilidades encontradas devem ser corrigidos e validados antes de entrar em produção.</t>
  </si>
  <si>
    <t>Documentação do projeto com detalhes técnicos e funcionais formalizados nos sistemas de controle.</t>
  </si>
  <si>
    <t>Scan de vulnerabilidades e/ou teste de penetração.</t>
  </si>
  <si>
    <t>VIVO.SEGURA.APLICAÇÃO.009</t>
  </si>
  <si>
    <t>Onde aplicável, assinaturas digitais devem ser usadas para garantir a autenticidade e a origem das mensagens, permitindo que a fonte seja verificada de forma irrefutável.</t>
  </si>
  <si>
    <t>VIVO.SEGURA.APLICAÇÃO.010</t>
  </si>
  <si>
    <t>VIVO.SEGURA.APLICAÇÃO.011</t>
  </si>
  <si>
    <t>VIVO.SEGURA.APLICAÇÃO.012</t>
  </si>
  <si>
    <t>Evidência do cadastro na plataforma de gestão.</t>
  </si>
  <si>
    <t>Auditoria da plataforma de gestão.</t>
  </si>
  <si>
    <t>VIVO.SEGURA.APLICAÇÃO.013</t>
  </si>
  <si>
    <t>VIVO.SEGURA.APLICAÇÃO.014</t>
  </si>
  <si>
    <t>Evidência do controle na aplicação.</t>
  </si>
  <si>
    <t>Auditoria e/ou testes operacionais.</t>
  </si>
  <si>
    <t>VIVO.SEGURA.APLICAÇÃO.015</t>
  </si>
  <si>
    <t>Permitir que os clientes gerenciem seus próprios perfis, incluindo atualização de dados pessoais, dispositivos confiáveis e revogação de consentimentos. Para estas ações, submeter o usuário a verificação de identidade rígida para mitigar riscos de fraude.</t>
  </si>
  <si>
    <t>Evidência do recurso disponível na aplicação.</t>
  </si>
  <si>
    <t>VIVO.SEGURA.APLICAÇÃO.016</t>
  </si>
  <si>
    <t>Auditoria de aplicação e/ou análise automatizada de SecOps.</t>
  </si>
  <si>
    <t>VIVO.SEGURA.APLICAÇÃO.017</t>
  </si>
  <si>
    <t>Documentação completa de arquitetura do ambiente que sustenta o produto/serviço, documento do plano de Failover ou DR.</t>
  </si>
  <si>
    <t>Teste de mesa assistido.</t>
  </si>
  <si>
    <t>VIVO.SEGURA.APLICAÇÃO.018</t>
  </si>
  <si>
    <t>A aplicação não deve permitir acessos simultâneos com a mesma credencial de usuário, a fim de mitigar a impossibilidade de monitoramento, o comprometimento de logs e a possibilidade de vazamento de informações. </t>
  </si>
  <si>
    <t>A aplicação não deve permitir acessos simultâneos com a mesma credencial de usuário, a fim de mitigar a impossibilidade de monitoramento, o comprometimento de logs e a possibilidade de vazamento de informações. Isso é essencial para garantir rastreabilidade, proteger dados confidenciais e assegurar integridade das sessões de usuários.</t>
  </si>
  <si>
    <t>Teste de mesa assistido, auditoria de controle de acesso.</t>
  </si>
  <si>
    <t>VIVO.SEGURA.BANCODEDADOS.001</t>
  </si>
  <si>
    <t>Auditoria e/ou relatório de scan de vulnerabilidades.</t>
  </si>
  <si>
    <t>Scan de vulnerabilidades.</t>
  </si>
  <si>
    <t>VIVO.SEGURA.BANCODEDADOS.002</t>
  </si>
  <si>
    <t>Auditoria de aplicação/sistemas e teste de mesa assistido (Teste de restore controlado).</t>
  </si>
  <si>
    <t>VIVO.SEGURA.BANCODEDADOS.003</t>
  </si>
  <si>
    <t>VIVO.SEGURA.BANCODEDADOS.004</t>
  </si>
  <si>
    <t>VIVO.SEGURA.BANCODEDADOS.005</t>
  </si>
  <si>
    <t>O banco de dados deve implementar criptografia em repouso (Data Rest) para proteger as informações sensíveis.  Esse controle não pode ser substituído por criptografia em storage e não elimina a necesidade de encriptar dados pessoais e/ou dados sensíveis armazenados na base.</t>
  </si>
  <si>
    <t>Auditoria e/ou evidências dos controles aplicados.</t>
  </si>
  <si>
    <t>VIVO.SEGURA.BANCODEDADOS.006</t>
  </si>
  <si>
    <t>Auditoria de aplicação/sistemas, scan de vulnerabilidades e/ou teste de penetração.</t>
  </si>
  <si>
    <t>VIVO.SEGURA.BANCODEDADOS.007</t>
  </si>
  <si>
    <t>VIVO.SEGURA.BANCODEDADOS.008</t>
  </si>
  <si>
    <t>VIVO.SEGURA.BI.001</t>
  </si>
  <si>
    <t>VIVO.SEGURA.BI.002</t>
  </si>
  <si>
    <t>VIVO.SEGURA.BI.003</t>
  </si>
  <si>
    <t>Documentação técnica de gestão do dado e evidência funcional.</t>
  </si>
  <si>
    <t>Auditoria de controle e testes de mesa asssitido.</t>
  </si>
  <si>
    <t>VIVO.SEGURA.BI.004</t>
  </si>
  <si>
    <t>VIVO.SEGURA.BI.005</t>
  </si>
  <si>
    <t>No desenvolvimento e utilização de relatórios/dashboards com informações críticas, considerar: 
- Configurar Permissões de Acesso: Definir permissões adequadas para garantir que apenas usuários autorizados possam acessar e editar os relatórios
- Segurança ao Nível de Linha (RLS): Implemente a Segurança ao Nível de Linha para restringir o acesso aos dados com base nas funções dos usuários. Garantir que cada usuário veja apenas os dados relevantes para sua função 
- Usar dados estritamente necessários para produção dos relatórios
- O dashboard deve ser classificado como USO INTERNO RESTRITO, devem ter acesso somente pessoas estritamente necessárias no processo 
- Limitar o acesso aos dados a usuários específicos através do compartilhamento de relatórios individuais, minimizando o risco de exposição indevida de informações confidenciais
- Implementar mecanismos para ocultar abas que não sejam essenciais para a visualização e análise dos dados, garantindo que os usuários visualizem apenas as informações relevantes para suas funções.</t>
  </si>
  <si>
    <t>Relatórios/dashboards com informações críticas devem adotar: controle de permissões, segurança ao nível de linha (RLS), uso mínimo de dados, classificação como USO INTERNO RESTRITO, acesso apenas a envolvidos e ocultação de abas irrelevantes. Isso é essencial para restringir visualização, evitar exposição indevida e garantir aderência às diretrizes de segurança da informação.</t>
  </si>
  <si>
    <t>Documentação técnica do relatório desenvolvido com evidência de aderência aos controles de segurança.</t>
  </si>
  <si>
    <t>Auditoria dos controles, revisão através da esteira de SecOps e testes funcionais antes de realizar deploy em produção.</t>
  </si>
  <si>
    <t>VIVO.SEGURA.BI.006</t>
  </si>
  <si>
    <t xml:space="preserve">Quando o processo utilizar PowerBI, é necessário inibir o checkbox que permite o compartilhamento do relatório com outros usuários pelo destinatário - Exemplo: "Permitir que o destinatário compartilhe este relatório" - Isso deverá ser desmarcado no momento do compartilhamento </t>
  </si>
  <si>
    <t>Ao compartilhar relatórios no Power BI, é necessário inibir a opção que permite ao destinatário repassar o relatório ('Permitir que o destinatário compartilhe este relatório'). Isso é essencial para evitar a propagação não controlada de dados e limitar o acesso conforme o princípio do menor privilégio.</t>
  </si>
  <si>
    <t>Auditoria de controles nas ferramentas que utilizam o PowerBI.</t>
  </si>
  <si>
    <t>VIVO.SEGURA.DADOS.001</t>
  </si>
  <si>
    <t>Havendo compartilhamento de informações da VIVO entre parceiros, esses deverão possuir o NDA próprio assinado entre eles.</t>
  </si>
  <si>
    <t>Havendo compartilhamento de informações da VIVO entre parceiros, esses deverão possuir o NDA próprio assinado entre eles, garantindo responsabilidade legal e confidencialidade das informações trocadas Isso é essencial para mitigar riscos operacionais, garantir conformidade com leis como a LGPD e normas como ISO/PCI/BACEN, além de preservar a reputação da empresa e proteger os dados dos clientes.</t>
  </si>
  <si>
    <t>Evidências de conformidade e cópia dos contratos assinados.</t>
  </si>
  <si>
    <t>Auditoria do contrato e revisão do processo junto ao Jurídico da TBRA.</t>
  </si>
  <si>
    <t>VIVO.SEGURA.DADOS.002</t>
  </si>
  <si>
    <t>Para efeito de POC, requisitamos dados estritamente necessários para a finalidade, fictícios, anonimizados ou mascarados.</t>
  </si>
  <si>
    <t>Para efeito de POC, devem ser utilizados apenas dados estritamente necessários, fictícios, anonimizados ou mascarados. O uso de dados reais requer aceite formal do risco e previsão de descarte seguro imediato após o término da POC, com evidência quando solicitado Isso é essencial para mitigar riscos operacionais, garantir conformidade com leis como a LGPD e normas como ISO/PCI/BACEN, além de preservar a reputação da empresa e proteger os dados dos clientes.</t>
  </si>
  <si>
    <t>VIVO.SEGURA.DADOS.003</t>
  </si>
  <si>
    <t xml:space="preserve">Para os excepcionais casos de utilização de dados reais com o prévio aceite do risco, o projeto deverá prever o método de descarte seguro das informações utilizadas imediatamente após o término da POC, bem como fornecer evidências se solicitadas. </t>
  </si>
  <si>
    <t>Terceiros devem seguir todos os requisitos de proteção de dados descritos no Anexo de Segurança do contrato, assegurando o cumprimento das obrigações contratuais e legais Isso é essencial para mitigar riscos operacionais, garantir conformidade com leis como a LGPD e normas como ISO/PCI/BACEN, além de preservar a reputação da empresa e proteger os dados dos clientes.</t>
  </si>
  <si>
    <t>Auditoria do contrato e revisão do processo junto ao Jurídico da TBRA e acompanhamento do projeto de fim a fim para garantir que os controles determinados estão funcionais e que os dados sejam apropriadamente eliminados no final.</t>
  </si>
  <si>
    <t>VIVO.SEGURA.DADOS.004</t>
  </si>
  <si>
    <t>Para fins de cumprimento integral dos requisitos de Proteção de Dados, sem prejuízo de quaisquer itens elencados neste Parecer, o terceiro deverá observar todos os requisitos de proteção de dados também já elencados no Anexo de Segurança que acompanhará o contrato.</t>
  </si>
  <si>
    <t>Caso haja coleta e tratamento de dados pessoais/sensíveis, é obrigatório mapear o processo com o time de DPO da VIVO, aplicando finalidade e base legal conforme LGPD, via ferramenta Vivo Privacy Isso é essencial para mitigar riscos operacionais, garantir conformidade com leis como a LGPD e normas como ISO/PCI/BACEN, além de preservar a reputação da empresa e proteger os dados dos clientes.</t>
  </si>
  <si>
    <t>Evidências de conformidade contratual e com os controles de segurança solicitados.</t>
  </si>
  <si>
    <t>Auditoria do contrato e dos controles de segurança.</t>
  </si>
  <si>
    <t>VIVO.SEGURA.DADOS.005</t>
  </si>
  <si>
    <t>Caso haja envolvimento de coleta e tratamento de qualquer dado pessoal/sensível, é necessário mapear um processo junto ao time de DPO (Data Protection Officer) da VIVO, para que seja aplicado finalidade e enquadramento de base legal ao tratamento, conforme a Lei Geral de Proteção de Dados (LGPD) - O processo pode ser aberto via ferramenta Vivo Privacy: https://apps.powerapps.com/play/e/76fe607a-132f-e52a-a98c-8be3dc0da15e/a/dc5e1016-d909-4ac2-9e5f-a589b7cc6e0c?tenantId=9744600e-3e04-492e-baa1-25ec245c6f10</t>
  </si>
  <si>
    <t>Se a base legal for consentimento, é necessário coletar e armazenar prova do consentimento do titular (data, hora, meio de coleta), garantindo o não-repúdio e rastreabilidade Isso é essencial para mitigar riscos operacionais, garantir conformidade com leis como a LGPD e normas como ISO/PCI/BACEN, além de preservar a reputação da empresa e proteger os dados dos clientes.</t>
  </si>
  <si>
    <t>VIVO.SEGURA.DADOS.006</t>
  </si>
  <si>
    <t>Caso haja uso do Consentimento como base legal no tratamento de dados pessoais, recomendamos que seja feita a coleta e armazenamento desse consentimento, assegurando o não-repúdio. Portanto, minimamente se faz necessário a guarda de dados do titular, data e hora de coleta, e o meio pelo qual foi coletado. Sobre o formato de coleta, validar junto ao time do DPO da VIVO.</t>
  </si>
  <si>
    <t>Dados pessoais sensíveis devem ser protegidos com técnicas como mascaramento, tokenização ou pseudonimização, e acesso segregado conforme sensibilidade da informação Isso é essencial para mitigar riscos operacionais, garantir conformidade com leis como a LGPD e normas como ISO/PCI/BACEN, além de preservar a reputação da empresa e proteger os dados dos clientes.</t>
  </si>
  <si>
    <t>Auditoria do contrato e da existência de concentimento formal, individual por usuário.</t>
  </si>
  <si>
    <t>VIVO.SEGURA.DADOS.007</t>
  </si>
  <si>
    <t>Dados pessoais sensíveis deverão conter medidas técnicas adicionais para robustecer a segurança das informações em todas as instâncias. 
Recomendamos a implementação de medidas para segregar os dados pessoais de acordo com o nível de sensibilidade (dados pessoais x dados pessoais sensíveis) e a necessidade de acesso, utilizando técnicas como mascaramento de dados, tokenização, pseudonimização, etc.</t>
  </si>
  <si>
    <t>Apenas corpo médico autorizado deve ter acesso a informações de saúde, protegidas com medidas que assegurem confidencialidade, privacidade e sigilo médico; o corpo administrativo só pode acessar dados sumarizados Isso é essencial para mitigar riscos operacionais, garantir conformidade com leis como a LGPD e normas como ISO/PCI/BACEN, além de preservar a reputação da empresa e proteger os dados dos clientes.</t>
  </si>
  <si>
    <t>Auditoria dos controles, observando devido armazenamento, gestão das chaves de criptografia +salt dos dados mascarados e/ou anonimizados.</t>
  </si>
  <si>
    <t>VIVO.SEGURA.DADOS.008</t>
  </si>
  <si>
    <t>Somente o corpo médico/profissionais de saúde autorizados deverão ter acesso às informações de saúde, portanto, quaisquer informações de saúde deverão ser protegidas com camadas adicionais de segurança a fim de se assegure minimamente: a Confidencialidade, a Disponibilidade, a Integridade, a Autenticidade, o Não-repúdio, a Privacidade e o Sigilo Médico. O corpo administrativo não deverá ter acesso às informações de pacientes/clientes, mas somente a dados sumarizados/estatísticos de uso do programa, sem ter acesso a dados pessoais e sensíveis que possam identificar quaisquer pessoas.</t>
  </si>
  <si>
    <t>Soluções de saúde devem ser projetadas conforme os controles da ISO 27799 ou norma equivalente, para garantir a proteção de dados pessoais de saúde Isso é essencial para mitigar riscos operacionais, garantir conformidade com leis como a LGPD e normas como ISO/PCI/BACEN, além de preservar a reputação da empresa e proteger os dados dos clientes.</t>
  </si>
  <si>
    <t>Auditoria dos controles, observando devido armazenamento, gestão das chaves de criptografia +salt dos dados mascarados e/ou anonimizados. Auditoria tambémdos controles de segurança adicionais para isolamento fisico/lógico dos dados. E não compartimentalização de recursos como base de dados e/ou storage.</t>
  </si>
  <si>
    <t>VIVO.SEGURA.DADOS.009</t>
  </si>
  <si>
    <t>Recomendamos que as soluções de saúde sejam concebidas, independentemente do ambiente, seguindo todos os controles elucidados pela ISO 27799 (norma internacional que fornece orientação sobre a melhor forma de proteger a confidencialidade, integridade e disponibilidade de dados pessoais de saúde para qualquer pessoa que trabalhe no setor de saúde ou em seus exclusivos ambientes operacionais) ou norma equivalente.</t>
  </si>
  <si>
    <t>Dados financeiros devem seguir os padrões de segurança definidos pelo PCI DSS e BACEN, cobrindo armazenamento, processamento e transmissão de dados de pagamento Isso é essencial para mitigar riscos operacionais, garantir conformidade com leis como a LGPD e normas como ISO/PCI/BACEN, além de preservar a reputação da empresa e proteger os dados dos clientes.</t>
  </si>
  <si>
    <t>Documentacão da arquitetura aplicacional e de conformidade com a norma.</t>
  </si>
  <si>
    <t>Auditoria na arquitetura e de conformidade com a norma.</t>
  </si>
  <si>
    <t>VIVO.SEGURA.DADOS.010</t>
  </si>
  <si>
    <t>Dados financeiros devem ser protegidos conforme requisitos do PCI DSS (Payment Card Industry Data Security Standard) e regulamentações do BACEN, sempre que utilizados, pois definem um conjunto de regras e boas práticas para armazenamento, processamento ou transmissão de informações de pagamento.</t>
  </si>
  <si>
    <t>Informações estratégicas devem ser protegidas por técnicas como anonimização, tokenização e agrupamento, garantindo confidencialidade e mitigando riscos de exposição Isso é essencial para mitigar riscos operacionais, garantir conformidade com leis como a LGPD e normas como ISO/PCI/BACEN, além de preservar a reputação da empresa e proteger os dados dos clientes.</t>
  </si>
  <si>
    <t>Documentação completa do produto inclusive de arquitetura aplicacional que evidencie aderencia as normas, frameworks e regulações exigidas.</t>
  </si>
  <si>
    <t>Auditoria na arquitetura de sistema e de devida aplicação dos controles de segurança e conformidade.</t>
  </si>
  <si>
    <t>VIVO.SEGURA.DADOS.011</t>
  </si>
  <si>
    <t>Caso a informação tratada no projeto constitua uma Informação Crítica para o Negócio (ICPN), recomendamos a implementação de técnicas como anonimização, tokenização, agrupamento de dados para as categorias cabíveis, perturbação de dados, dentre outras a fim de garantir a segurança de informações mais estratégicas para a empresa.</t>
  </si>
  <si>
    <t>Soluções devem impedir exportações massivas de dados em todas as camadas (exportação, copy/paste, print, gravação de tela, mensageria externa), evitando vazamento em larga escala Isso é essencial para mitigar riscos operacionais, garantir conformidade com leis como a LGPD e normas como ISO/PCI/BACEN, além de preservar a reputação da empresa e proteger os dados dos clientes.</t>
  </si>
  <si>
    <t>Documentação completa do sistema e de arquitetura aplicacional com evidências de conformidade contratual e com os controles de segurança solicitados.</t>
  </si>
  <si>
    <t>VIVO.SEGURA.DADOS.012</t>
  </si>
  <si>
    <t>Para implementação de novas soluções, requisitamos que não haja possibilidade de extração massiva de dados da solução, em nenhuma das camadas, incluindo, mas não se limitando: a possibilidade de exportação de dados, de copy/past massivo, print e gravação de tela e tráfego das informações para ambiente externo por meio de funcionalidades de mensageria.</t>
  </si>
  <si>
    <t>Acesso a informações deve ser restrito a usuários autorizados com MFA, Captcha e credenciais exclusivas. Todos os acessos devem ser monitorados e auditados com logs detalhados Isso é essencial para mitigar riscos operacionais, garantir conformidade com leis como a LGPD e normas como ISO/PCI/BACEN, além de preservar a reputação da empresa e proteger os dados dos clientes.</t>
  </si>
  <si>
    <t>Auditoria da documentação, testes de mesa assistidos de acesso aos servidores/sistemas e/ou testes de penetração.</t>
  </si>
  <si>
    <t>VIVO.SEGURA.DADOS.013</t>
  </si>
  <si>
    <t>Requisitamos que os acessos às informações em todas as intâncias sejam restritos aos usuários que tratarão essas informações, com credenciais e senhas exclusivas, seguindo as diretrizes do time de arquitetura, bem como MFA e Captcha. Além disso, é necessário que haja monitoramento e registro dos acessos às informações, por meio de configuração de auditorias detalhadas de todas as ações.</t>
  </si>
  <si>
    <t>Soluções com múltiplos parceiros devem garantir acesso segregado às informações, de acordo com a prestação de serviço de cada um, inclusive no Power BI via RLS Isso é essencial para mitigar riscos operacionais, garantir conformidade com leis como a LGPD e normas como ISO/PCI/BACEN, além de preservar a reputação da empresa e proteger os dados dos clientes.</t>
  </si>
  <si>
    <t>Operacional Tático</t>
  </si>
  <si>
    <t>Documentação completa com evidência dos controles aplicados.</t>
  </si>
  <si>
    <t>Auditoria de acessos com teste de mesa assistido e/ou testes de penetração.</t>
  </si>
  <si>
    <t>VIVO.SEGURA.DADOS.014</t>
  </si>
  <si>
    <t>Quando a solução envolver a atuação de mais de um parceiro, requisitamos que ela possua controles de segregação de acesso às informações para garantir que cada parceiro de negócio visualize e trate apenas à base de dados e informações vinculadas à sua prestação de serviço. Isso deve ser aplicado em sistemas, aplicações, banco de dados e, caso haja, no Power BI através do RLS (Row Level Security).</t>
  </si>
  <si>
    <t>Ao fim do contrato ou mediante solicitação, o parceiro deve descartar os dados de forma segura, considerando obrigações legais e regulatórias e alinhando com a área de negócios Isso é essencial para mitigar riscos operacionais, garantir conformidade com leis como a LGPD e normas como ISO/PCI/BACEN, além de preservar a reputação da empresa e proteger os dados dos clientes.</t>
  </si>
  <si>
    <t>Evidência dos controles explicitos em contrato. Documentação completa com evidência dos controles aplicados.</t>
  </si>
  <si>
    <t>Auditoria da existência dos controles de acesso aos dados, limites de permissões e incapacidade de alterações sem prévio conhecimento da TBRA.</t>
  </si>
  <si>
    <t>VIVO.SEGURA.DADOS.015</t>
  </si>
  <si>
    <t>Ao término da prestação de serviço ou sempre que requisitado pela VIVO o parceiro deverá realizar o descarte seguro de todas as informações que foram coletadas em nome da VIVO, alinhando previamente junto à área de negócio contratante quaisquer impedimentos nesse sentido ou necessidade de guarda para cumprimento de obrigações legais. Esse requisito deverá ser avaliado de forma abrangente em sua aplicabilidade, considerando a definição contratual dos agentes de tratamento de dados, bem como leis e regulamentos vigentes que assegurem a guarda das informações por tempo superior ao do contrato/solução proposta.</t>
  </si>
  <si>
    <t>Assegurar que o ciclo de vida dos dados, da coleta ao descarte, siga diretrizes do Procedimento de Segurança de Dados da VIVO Isso é essencial para mitigar riscos operacionais, garantir conformidade com leis como a LGPD e normas como ISO/PCI/BACEN, além de preservar a reputação da empresa e proteger os dados dos clientes.</t>
  </si>
  <si>
    <t>VIVO.SEGURA.DADOS.016</t>
  </si>
  <si>
    <t>Recomendamos a adoção das diretrizes de Segurança de Dados para o ciclo de vida de dados, desde a coleta até o descarte seguro, conforme consta no Procedimento: https://privacyportal-br.onetrust.com/policies/2321580d-be23-471a-a2db-b71f499e1d7f?context=eyJkc1BvcnRhbElkIjoiZmVhZmYwMGYtNGViNS00ODJmLWJjMDEtNmU1MmU5NzNkYjE2In0=</t>
  </si>
  <si>
    <t>Projetos com IA devem seguir as diretrizes de Segurança de Dados definidas no Procedimento interno da VIVO Isso é essencial para mitigar riscos operacionais, garantir conformidade com leis como a LGPD e normas como ISO/PCI/BACEN, além de preservar a reputação da empresa e proteger os dados dos clientes.</t>
  </si>
  <si>
    <t>VIVO.SEGURA.DADOS.017</t>
  </si>
  <si>
    <t>Projetos que envolvam soluções de IA deverão seguir as diretrizes de Segurança de Dados publicadas no Procedimento que consta no link a seguir: https://privacyportal-br.onetrust.com/policies/bcfb343b-1e5f-4b72-934c-668601cbd701?context=eyJkc1BvcnRhbElkIjoiZmVhZmYwMGYtNGViNS00ODJmLWJjMDEtNmU1MmU5NzNkYjE2In0=</t>
  </si>
  <si>
    <t>Contratações ou implementações em nuvem devem seguir as diretrizes de Segurança de Dados publicadas no Procedimento da VIVO Isso é essencial para mitigar riscos operacionais, garantir conformidade com leis como a LGPD e normas como ISO/PCI/BACEN, além de preservar a reputação da empresa e proteger os dados dos clientes.</t>
  </si>
  <si>
    <t>VIVO.SEGURA.DADOS.018</t>
  </si>
  <si>
    <t>Projetos que envolvam contratação e/ou implementação de produtos e/ou serviços na nuvem deverão seguir as diretrizes de Segurança de Dados publicadas no Procedimento que consta no link a seguir: https://privacyportal-br.onetrust.com/policies/09705430-9844-47a8-b261-0aea313dc045?context=eyJkc1BvcnRhbElkIjoiZmVhZmYwMGYtNGViNS00ODJmLWJjMDEtNmU1MmU5NzNkYjE2In0=</t>
  </si>
  <si>
    <t>É recomendada a adoção das diretrizes de Segurança de Dados para todo o ciclo de vida das informações, desde a coleta até o descarte, conforme procedimentos internos da VIVO, garantindo uniformidade e conformidade com padrões organizacionais e regulatórios Isso é essencial para mitigar riscos operacionais, garantir conformidade com leis como a LGPD e normas como ISO/PCI/BACEN, além de preservar a reputação da empresa e proteger os dados dos clientes.</t>
  </si>
  <si>
    <t>VIVO.SEGURA.DADOS.019</t>
  </si>
  <si>
    <t>É proibido o armazenamento de dados produtivos em ambiente não produtivo.</t>
  </si>
  <si>
    <t>É proibido o armazenamento de dados produtivos em ambientes não produtivos. Isso é essencial para evitar vazamentos acidentais, testes indevidos com dados reais e não conformidades com regulamentações como a LGPD.</t>
  </si>
  <si>
    <t>Instrução de trabalho (IT) que explicite esse controle. Evidência de que todos os colaboradores que tenham acesso aos dados foram orientados e tem plena ciência deste conrole.</t>
  </si>
  <si>
    <t>Auditoria periódica dos sistemas para verificação da existência de dados compatível com sua natureza. (Produção, STAG, DEV, etc).</t>
  </si>
  <si>
    <t>VIVO.SEGURA.DEVSEC.001</t>
  </si>
  <si>
    <t>A aplicação precisa corrigir vulnerabilidades críticas antes da implantação em produção (CI/CD).</t>
  </si>
  <si>
    <t>VIVO.SEGURA.DEVSEC.002</t>
  </si>
  <si>
    <t>Realizar análise estática de código (SAST ) e corrigir itens Críticos e Altos</t>
  </si>
  <si>
    <t>Evidências dos controles aplicados e/ou relatórios das análises.</t>
  </si>
  <si>
    <t>Análise na esteira de SecOps, scan de vulnerabilidades  e/ou Teste de penetração.</t>
  </si>
  <si>
    <t>VIVO.SEGURA.DEVSEC.003</t>
  </si>
  <si>
    <t>Realizar análise dinâmica de código (DAST)  e corrigir itens Críticos e Altos</t>
  </si>
  <si>
    <t>VIVO.SEGURA.DEVSEC.004</t>
  </si>
  <si>
    <t>Possuir dentro da squad de desenvolvimento um profissional que atue com o papel de Security Champion (com viés de segurança).</t>
  </si>
  <si>
    <t>VIVO.SEGURA.DEVSEC.005</t>
  </si>
  <si>
    <t>VIVO.SEGURA.DEVSEC.006</t>
  </si>
  <si>
    <t>VIVO.SEGURA.DEVSEC.007</t>
  </si>
  <si>
    <t>Para os casos de entrega via CI/CD garantir que os scans de segurança sejam executados, assim como Guardrails de segurança que previnem vulnerabilidades críticas e altas de código vá para produção.</t>
  </si>
  <si>
    <t>VIVO.SEGURA.DEVSEC.008</t>
  </si>
  <si>
    <t>Análise na esteira de SecOps.</t>
  </si>
  <si>
    <t>VIVO.SEGURA.DEVSEC.009</t>
  </si>
  <si>
    <t>VIVO.SEGURA.DEVSEC.010</t>
  </si>
  <si>
    <t>VIVO.SEGURA.DEVSEC.011</t>
  </si>
  <si>
    <t>VIVO.SEGURA.DEVSEC.012</t>
  </si>
  <si>
    <t>Garantir que o projeto tenha um catálogo de tecnologias atualizado e de fácil acesso para garantir a visibilidade do que está em uso (Ex: mapeamento de libs utilizadas nos desenvolvimento junto com as suas versões).</t>
  </si>
  <si>
    <t>VIVO.SEGURA.DEVSEC.013</t>
  </si>
  <si>
    <t>VIVO.SEGURA.DEVSEC.014</t>
  </si>
  <si>
    <t>VIVO.SEGURA.DEVSEC.015</t>
  </si>
  <si>
    <t>VIVO.SEGURA.DEVSEC.016</t>
  </si>
  <si>
    <t>Auditoria dos controles aplicados e/ou relatório da esteira de SecOps.</t>
  </si>
  <si>
    <t>Análise na esteira de SecOps  e/ou Teste de penetração.</t>
  </si>
  <si>
    <t>VIVO.SEGURA.DEVSEC.017</t>
  </si>
  <si>
    <t>Relatório da esteira de SecOps</t>
  </si>
  <si>
    <t>VIVO.SEGURA.DEVSEC.018</t>
  </si>
  <si>
    <t>VIVO.SEGURA.FRAUDES.001</t>
  </si>
  <si>
    <t>O projeto precisa analisar o device em compras digitais, afim de identificar e não permitir a ação de dispositivos fraudulentos e que contenham riscos.</t>
  </si>
  <si>
    <t>A análise de device nas compras digitais permite que identifiquemos dispositivos que estejam realizando compras recorrentes com propósito fraudulento ou tentativa de descobrir vulnerabilidades.</t>
  </si>
  <si>
    <t>Documentação funcional do sistema e evidência de realização de análise de risco de dispositivo.</t>
  </si>
  <si>
    <t>Teste de penetração com objetivo de fraudar funcionamente sistemas.</t>
  </si>
  <si>
    <t>Inteligência Contra Fraude
(Débora Nicolosi)</t>
  </si>
  <si>
    <t>VIVO.SEGURA.FRAUDES.002</t>
  </si>
  <si>
    <t>A aplicação precisa analisar relação de dados cadastrais</t>
  </si>
  <si>
    <t>A análise da relação de dados cadastrais permite identificarmos o score de risco para aquele conjunto de dados, ou seja, a ferramenta verifica com base no mercado se o cliente realiza suas compras com aquele conjunto de dados.</t>
  </si>
  <si>
    <t>Operacional</t>
  </si>
  <si>
    <t>Documentação funcional do sistema e evidências da realização de análise dos dados.</t>
  </si>
  <si>
    <t>Teste de mesa assistido  e/ou testes de penetração.</t>
  </si>
  <si>
    <t>VIVO.SEGURA.FRAUDES.003</t>
  </si>
  <si>
    <t>Qualquer solução que tenha escopo PCI DSS (Pagamento com cartão de crédito) deve ser integrado aos serviços de prevenção a fraude da gerência e consumindo inteligência do Bureau de prevenção a fraude conforme definições da gerência.</t>
  </si>
  <si>
    <t>Auditoria da documentaoção, controles e arquitetura de solução.</t>
  </si>
  <si>
    <t>VIVO.SEGURA.FRAUDES.004</t>
  </si>
  <si>
    <t>A aplicação precisa analisar a transação através do motor de fraude da Vivo</t>
  </si>
  <si>
    <t>A análise da transação no motor de fraude da Vivo permite que sejam identificados dados que estejam em listas restritivas internas até regras de com ML para identificar os riscos da transação.</t>
  </si>
  <si>
    <t>VIVO.SEGURA.FRAUDES.005</t>
  </si>
  <si>
    <t>A aplicação precisa realizar biometria facial para validação de identidade em fluxos críticos da aplicação, como compras e alterações de dados cadastrais, por exemplo.</t>
  </si>
  <si>
    <t>A análise biométrica facial permite validarmos a identidade do titular da transação e verificar que é uma operação verdadeira.</t>
  </si>
  <si>
    <t>Documentação com evidências de implementação de biometria por jordada crítica com trava sistêmica que não permita bypass.</t>
  </si>
  <si>
    <t>Testes de penetração.</t>
  </si>
  <si>
    <t>VIVO.SEGURA.FRAUDES.006</t>
  </si>
  <si>
    <t>A aplicação precisa realizar biometria de voz para validação de identidade  em fluxos críticos da aplicação, como compras e alterações de dados cadastrais, por exemplo.</t>
  </si>
  <si>
    <t>A análise biométrica de voz permite validarmos a identidade do titular da transação e verificar que é uma operação verdadeira.</t>
  </si>
  <si>
    <t>VIVO.SEGURA.GCN.001</t>
  </si>
  <si>
    <t>Mapear e documentar ativos críticos essenciais para operação da aplicação/canal incluindo dependências e responsáveis associados.</t>
  </si>
  <si>
    <t>Tático</t>
  </si>
  <si>
    <t>Auditoria e/ou evidencias das documentações.</t>
  </si>
  <si>
    <t>Auditoria dos sistemas e/ou das documentações dos sistemas, recuros e serviços.</t>
  </si>
  <si>
    <t>VIVO.SEGURA.GCN.002</t>
  </si>
  <si>
    <t>Mapear e documentar processos de negócio críticos e indispensáveis na aplicação/canal  incluindo dependências e responsáveis associados (Associar os processos a área de negócio e não a pessoas, mesmo que responsáveis para evitar perda de rastreabilidade em caso de alteração da posição de trabalho).</t>
  </si>
  <si>
    <t>VIVO.SEGURA.GCN.003</t>
  </si>
  <si>
    <t>Em sistemas/serviços críticos, e mediante definição conjunta entre GRCN, Segurança e o negócio, implementar mecanismos de redundância/tolerância a falha para ativos críticos essenciais à continuidade operacional</t>
  </si>
  <si>
    <t>Auditoria dos sistemas e/ou das documentações dos sistemas, recuros e serviços e Teste de mesa assistido.</t>
  </si>
  <si>
    <t>VIVO.SEGURA.GCN.004</t>
  </si>
  <si>
    <t>VIVO.SEGURA.GCN.005</t>
  </si>
  <si>
    <t>VIVO.SEGURA.GCN.006</t>
  </si>
  <si>
    <t>VIVO.SEGURA.GCN.007</t>
  </si>
  <si>
    <t>VIVO.SEGURA.GCN.008</t>
  </si>
  <si>
    <t>VIVO.SEGURA.GOVERNANCA.001</t>
  </si>
  <si>
    <t>VIVO.SEGURA.GOVERNANCA.002</t>
  </si>
  <si>
    <t>Qualquer exceção no ambiente de Cloud deve seguir o processo de exceções estabelecido por governança, e quando cabível, realizar abertura de risco.</t>
  </si>
  <si>
    <t>Documentação completa do cenário de exceção e alinhamento com todas as áreas interesadas.</t>
  </si>
  <si>
    <t>Auditoria de aplicação/sistemas e evidência da formalização de risco quando cabível.</t>
  </si>
  <si>
    <t>VIVO.SEGURA.GOVERNANCA.003</t>
  </si>
  <si>
    <t>O Contrato do ativo de informação precisa possuir, obrigatoriamente, o anexo “Requisitos de Segurança para Contratadas”. O anexo de segurança deve ser revisado pelo time de segurança para adequa-lo ao sistema/produto/serviço objeto do contrato.</t>
  </si>
  <si>
    <t>Documentação da análise de segurança, documento dos requisitos de segurança para contratadas com destaque nas personalizações.</t>
  </si>
  <si>
    <t>Auditoria da documentação e do projeto.</t>
  </si>
  <si>
    <t>VIVO.SEGURA.GOVERNANCA.004</t>
  </si>
  <si>
    <t>O ambiente/infraestrutura precisa possuir certificação ISO27001, PCI etc. (a depender do escopo). Incluir SOC TIPO 2 nos documentos.</t>
  </si>
  <si>
    <t>Documentação evidenciando a certificação.</t>
  </si>
  <si>
    <t>Auditoria do ambiente X documentação base da certificação.</t>
  </si>
  <si>
    <t>VIVO.SEGURA.GOVERNANCA.005</t>
  </si>
  <si>
    <t>Auditoria e/ou evidências da aplicação da normativa/regulamentação.</t>
  </si>
  <si>
    <t>Auditoria dos sistemas.</t>
  </si>
  <si>
    <t>VIVO.SEGURA.GOVERNANCA.006</t>
  </si>
  <si>
    <t>Garantir que contratos com terceiros incluam cláusulas sobre proteção de dados e privacidade, além de clausulas que obrigatoriamente indiquem a necessidade da aplicação dos controles de segurança explicitados dentro do fluxo definido por governança.</t>
  </si>
  <si>
    <t>Auditoria e/ou evidências da aplicação da normativa/regulamentação no contrato/RFP.</t>
  </si>
  <si>
    <t>Auditoria da documentação contratual.</t>
  </si>
  <si>
    <t>VIVO.SEGURA.GOVERNANCA.007</t>
  </si>
  <si>
    <t>Auditoria dos sistemas e/ou das documentações dos sistemas.</t>
  </si>
  <si>
    <t>VIVO.SEGURA.GOVERNANCA.008</t>
  </si>
  <si>
    <t>VIVO.SEGURA.GOVERNANCA.009</t>
  </si>
  <si>
    <t>VIVO.SEGURA.GOVERNANCA.010</t>
  </si>
  <si>
    <t>VIVO.SEGURA.GOVERNANCA.011</t>
  </si>
  <si>
    <t>Na inexistência de um contrato vigente contendo o Anexo de Segurança é necessário que a VIVO, minimamente, possua um NDA assinado com o parceiro para compartilhamento de quaisquer informações.</t>
  </si>
  <si>
    <t>Na inexistência de um contrato vigente contendo o Anexo de Segurança, é necessário que a VIVO, minimamente, possua um NDA assinado com o parceiro para compartilhamento de quaisquer informações. Isso é essencial para formalizar obrigações de confidencialidade e garantir proteção jurídica no uso e no compartilhamento de dados.</t>
  </si>
  <si>
    <t>VIVO.SEGURA.IA.001</t>
  </si>
  <si>
    <t>VIVO.SEGURA.IA.002</t>
  </si>
  <si>
    <t>VIVO.SEGURA.IA.003</t>
  </si>
  <si>
    <t>VIVO.SEGURA.IA.004</t>
  </si>
  <si>
    <t>Implementar técnicas de aprendizado federado para treinar modelos de ML, sem centralizar dados sensíveis em determinados escopos.</t>
  </si>
  <si>
    <t>Documentação dos controles  implementados, códigos fontes e arquitetura do sistema implementado.</t>
  </si>
  <si>
    <t>Testes funcionais e de segurança ofensiva.</t>
  </si>
  <si>
    <t>VIVO.SEGURA.IA.005</t>
  </si>
  <si>
    <t>VIVO.SEGURA.IA.006</t>
  </si>
  <si>
    <t>VIVO.SEGURA.IA.007</t>
  </si>
  <si>
    <t>VIVO.SEGURA.IA.008</t>
  </si>
  <si>
    <t>VIVO.SEGURA.IA.009</t>
  </si>
  <si>
    <t>Necessário a utilização de uma sandbox (ambiente para consumo do LLM - Large Language Model) onde os dados são isolados, evitando assim possíveis vazamentos/trocas de informação para alimentar outras Inteligências artificiais. Além disso, os dados inseridos na sandbox precisam ser mapeados junto a LGPD.</t>
  </si>
  <si>
    <t>Auditoria da infraestrutura  de treinamento de IA e/ou testes de penetração.</t>
  </si>
  <si>
    <t>VIVO.SEGURA.IA.010</t>
  </si>
  <si>
    <t>VIVO.SEGURA.IA.011</t>
  </si>
  <si>
    <t>Documentação que demonstre que a massa de dados foi analisada para que contenha somente dados adequados.</t>
  </si>
  <si>
    <t xml:space="preserve">Revisão analítica de qualidade da massa de dados para confirmar que todos os dados cabíveis relativo ao produto estejam presentes. </t>
  </si>
  <si>
    <t>VIVO.SEGURA.IA.012</t>
  </si>
  <si>
    <t>Documentação que demosntre a revisão dos dados e controle de saída, além da arquitetura aplicacional.</t>
  </si>
  <si>
    <t>Auditoria da documentação de arquitetura aplicacional e teste de mesa assistido para reprodução de anomalias conhecidas.</t>
  </si>
  <si>
    <t>VIVO.SEGURA.IA.013</t>
  </si>
  <si>
    <t>Os dados utilizados para treinar o modelo de IA devem ser devidamente avaliados e sanitizados em tempo de projeto pelos times de proteção de dados e DPO</t>
  </si>
  <si>
    <t xml:space="preserve">Revisão analítica de qualidade da massa de dados para confirmar que todos  controles cabíveis relativo aos dados foram aplicados. </t>
  </si>
  <si>
    <t>VIVO.SEGURA.IA.014</t>
  </si>
  <si>
    <t>Havendo necessidade de compartilhamento de dados com parceiros ou ambientes SaaS, por meio de arquivos, esses deverão ser realizados por meio de ferramentas homologadas da Telefônica e só poderão ser realizados quando existir um contrato previamente firmado com o parceiro que contenha o Anexo de Segurança.</t>
  </si>
  <si>
    <t>Documentação técnica e contratual do sistema.</t>
  </si>
  <si>
    <t>Auditoria dos dados compartilhados e de controles contra expansão da massa de dados autorizada.</t>
  </si>
  <si>
    <t>VIVO.SEGURA.IA.015</t>
  </si>
  <si>
    <t>VIVO.SEGURA.IAM.001</t>
  </si>
  <si>
    <t>O sistema deve possuir um perfil exclusivo de Identidade Digital para gerenciamento da aplicação.</t>
  </si>
  <si>
    <t>VIVO.SEGURA.IAM.002</t>
  </si>
  <si>
    <t>É mandatório que o processo de gestão de acessos seja efetuado através de um perfil exclusivo relativo a função do operador e diferente de outros perfis, incluindo, mas não limitando-se ao root ou ADMINISTRADOR.</t>
  </si>
  <si>
    <t>Auditoria dos sistemas de acesso.</t>
  </si>
  <si>
    <t>VIVO.SEGURA.IAM.003</t>
  </si>
  <si>
    <t>A solução deve suportar a criação de perfis dedicados para a gestão de acesso, segregado das tarefas administrativas, desenvolvimento e/ou operação da plataforma.</t>
  </si>
  <si>
    <t>VIVO.SEGURA.IAM.004</t>
  </si>
  <si>
    <t>VIVO.SEGURA.IAM.005</t>
  </si>
  <si>
    <t>VIVO.SEGURA.IAM.006</t>
  </si>
  <si>
    <t>VIVO.SEGURA.IAM.007</t>
  </si>
  <si>
    <t>Os sistemas descentralizados ou desassociados das ferramentas de gestão de identidade deve possuir uma interface que permita gerenciar perfis, funcionalidades e relatórios.</t>
  </si>
  <si>
    <t>VIVO.SEGURA.IAM.008</t>
  </si>
  <si>
    <t>A aplicação deve ser capaz de gerar relatórios que contenham o mapeamento das funcionalidades liberadas por perfil. O sistema deve possuir um perfil exclusivo de Identidade Digital para gerenciar a interface.</t>
  </si>
  <si>
    <t>VIVO.SEGURA.IAM.009</t>
  </si>
  <si>
    <t>A solução precisa garantir que a autenticação e autorização sejam feitos via Identity Provider (IdP) definidos pela companhia (ex: geração de tokens OAUTH2)</t>
  </si>
  <si>
    <t>Documentação dos controles e desenhos de arquietura de solução.</t>
  </si>
  <si>
    <t>VIVO.SEGURA.IAM.010</t>
  </si>
  <si>
    <t>VIVO.SEGURA.IAM.011</t>
  </si>
  <si>
    <t>Auditoria de aplicação, scan de vulnerabilidade  e/ou teste de penetração.</t>
  </si>
  <si>
    <t>VIVO.SEGURA.IAM.012</t>
  </si>
  <si>
    <t>A aplicação deve prover APIs que permitam executar todas as tarefas de gestão de acessos e do ciclo de vida do usuário, provendo, no mínimo, as seguintes capacidades: criar usuários, remover usuários, bloquear/desbloquear usuários, atribuir usuários a perfis, remover usuários de perfis.</t>
  </si>
  <si>
    <t>Documentação funcional dos controles e desenho de arquietura que comprove a implementação do controle.</t>
  </si>
  <si>
    <t>VIVO.SEGURA.IAM.013</t>
  </si>
  <si>
    <t>Auditoria de aplicação e/ou análise manual da jornada do cliente com teste de mesa assistido.</t>
  </si>
  <si>
    <t>VIVO.SEGURA.IAM.014</t>
  </si>
  <si>
    <t>Documentação técnica do produto com evidências da compatibilidade com o padrão de identidade da VIVO.</t>
  </si>
  <si>
    <t>Auditoria da documentação e do sistema.</t>
  </si>
  <si>
    <t>VIVO.SEGURA.IAM.015</t>
  </si>
  <si>
    <t>VIVO.SEGURA.IAM.016</t>
  </si>
  <si>
    <t>VIVO.SEGURA.IAM.017</t>
  </si>
  <si>
    <t>VIVO.SEGURA.IAM.018</t>
  </si>
  <si>
    <t>Documentação dos controles e desenhos de arquietura de solução e quando não aplicável a justificativa bem documentada.</t>
  </si>
  <si>
    <t>VIVO.SEGURA.IAM.019</t>
  </si>
  <si>
    <t>Todo e qualquer acesso deve possuir Múltiplo Fator de Autenticação (MFA), para ambientes em nuvem o MFA deve ser habilitado por política em nível de organização.</t>
  </si>
  <si>
    <t>Documentação técnica do controle aplicado e evidências funcionais.</t>
  </si>
  <si>
    <t>Teste de mesa assistido, auditoria de controle de acesso e/ou testes de penetração.</t>
  </si>
  <si>
    <t>VIVO.SEGURA.IAM.020</t>
  </si>
  <si>
    <t>VIVO.SEGURA.IAM.021</t>
  </si>
  <si>
    <t>VIVO.SEGURA.IAM.022</t>
  </si>
  <si>
    <t>VIVO.SEGURA.IAM.023</t>
  </si>
  <si>
    <t>Documentação técnica de integração.</t>
  </si>
  <si>
    <t>Auditoria de controles e teste de mesa assistido com confirmação de impossibilidade de alteração por parte do fornecedor.</t>
  </si>
  <si>
    <t>VIVO.SEGURA.RASTREABILIDADE.001</t>
  </si>
  <si>
    <t>Documentação técnica do sistema que evidencie esse controle.</t>
  </si>
  <si>
    <t>VIVO.SEGURA.RASTREABILIDADE.002</t>
  </si>
  <si>
    <t>VIVO.SEGURA.RASTREABILIDADE.003</t>
  </si>
  <si>
    <t>Auditoria dos dados transitados com comparação do payload da origem ao de destino.</t>
  </si>
  <si>
    <t>VIVO.SEGURA.RASTREABILIDADE.004</t>
  </si>
  <si>
    <t>Auditoria dos logs armazendos no próprio endopoint e nos concentradores de Logs como SIEM ou syslogs para confirmação da ofuscação, anonimização e/ou ofuscação dos dados pessoais e/ou sensíveis.</t>
  </si>
  <si>
    <t>VIVO.SEGURA.RASTREABILIDADE.005</t>
  </si>
  <si>
    <t>Auditoria da documentação e teste de mesa para validar a ingestão adequada dos logs de segurança e SOX.</t>
  </si>
  <si>
    <t>VIVO.SEGURA.RASTREABILIDADE.006</t>
  </si>
  <si>
    <t>Documentação técnica e evidência contratual que especifique esse controle.</t>
  </si>
  <si>
    <t>Auditoria de contrato e de sistema com a presença de logs pelo período determinado e backup que garanta a disponibilidade dos dados em caso de incidentes.</t>
  </si>
  <si>
    <t>VIVO.SEGURA.RASTREABILIDADE.007</t>
  </si>
  <si>
    <t>Auditoria da documentação técnica e contratual. Auditoria técnica da correta aderencia ao requisito.</t>
  </si>
  <si>
    <t>VIVO.SEGURA.RASTREABILIDADE.008</t>
  </si>
  <si>
    <t>VIVO.SEGURA.RASTREABILIDADE.009</t>
  </si>
  <si>
    <t>VIVO.SEGURA.RASTREABILIDADE.010</t>
  </si>
  <si>
    <t>VIVO.SEGURA.RASTREABILIDADE.011</t>
  </si>
  <si>
    <t>Documentação de projeto que preveja este controle dentro do orçamento.</t>
  </si>
  <si>
    <t>Auditoria da documentação e da alocação adequada de recursos no centro de custo correto.</t>
  </si>
  <si>
    <t>VIVO.SEGURA.RASTREABILIDADE.012</t>
  </si>
  <si>
    <t>Verifique se os logs estão habilitados nas configurações da nuvem para aplicações e serviços nativos</t>
  </si>
  <si>
    <t>Print ou exportações das configurações de logging</t>
  </si>
  <si>
    <t>VIVO.SEGURA.RASTREABILIDADE.013</t>
  </si>
  <si>
    <t>Auditoria da estrutura aplicacional e devida configuração e existência dos logs pelo período necessário.</t>
  </si>
  <si>
    <t>VIVO.SEGURA.RASTREABILIDADE.014</t>
  </si>
  <si>
    <t>Quaisquer transações de CRUD (Create, Read, Update, Delete) deverão guardar logs. Para as operações de tratamento de dados pessoais, ICPN (dados protegidos por sigilo de quaisquer naturezas, dados de saúde, etc.), deverá ser implementada solução para registro e guarda de logs de auditoria, exemplo: acessos, modificações, exclusões, emissões de relatórios, entre outros, por período mínimo definido em lei ou ajustado pela área de negócio.</t>
  </si>
  <si>
    <t>Garantir a rastreabilidade e segurabça das operações realizadas no sistema, especialmente aquelas envolvendo dados sensíveis e protegidos.</t>
  </si>
  <si>
    <t>VIVO.SEGURA.RCS.001</t>
  </si>
  <si>
    <t>Auditoria do sistema e teste de mesa assistido.</t>
  </si>
  <si>
    <t>VIVO.SEGURA.RCS.002</t>
  </si>
  <si>
    <t>VIVO.SEGURA.RCS.003</t>
  </si>
  <si>
    <t>VIVO.SEGURA.RCS.004</t>
  </si>
  <si>
    <t>VIVO.SEGURA.RCS.005</t>
  </si>
  <si>
    <t>VIVO.SEGURA.RCS.006</t>
  </si>
  <si>
    <t>Acessos a ferramentas de Whatsapp e RCS devem ser restritos a público específicos via ferramenta de virtualização (como Citrix e outros)</t>
  </si>
  <si>
    <t>VIVO.SEGURA.RCS.007</t>
  </si>
  <si>
    <t>Auditoria do sistema e teste de mesa assistido. Estabelecer controle de lançamento de comunicados, mensagens ou campanhas pra mitigar burlas nesse processo.</t>
  </si>
  <si>
    <t>VIVO.SEGURA.REDES.001</t>
  </si>
  <si>
    <t>VIVO.SEGURA.REDES.002</t>
  </si>
  <si>
    <t>Documentação da arquitetura aplicacional e evidências da construção de ambientes segmentados.</t>
  </si>
  <si>
    <t>Auditoria nos ambientes, Análise automatizada de conformidade com zanchin por exemplo e/ou teste de penetração.</t>
  </si>
  <si>
    <t>VIVO.SEGURA.REDES.003</t>
  </si>
  <si>
    <t>VIVO.SEGURA.REDES.004</t>
  </si>
  <si>
    <t>Auditoria periódica dos sistemas para verificar compatibilidade com infraestrutura real/cadastrada, recon do time de postura e IT com Risco para forçar atualização da base.</t>
  </si>
  <si>
    <t>VIVO.SEGURA.REDES.005</t>
  </si>
  <si>
    <t>Documentação de arquteitura que evidencie correta aderência a segmentação lógica, utilizando microsegmentação como controle adicional.</t>
  </si>
  <si>
    <t>Auditoria da infraestrutura  e/ou testes de penetração, para validar resiliênca do isolamento nas camadas.</t>
  </si>
  <si>
    <t>VIVO.SEGURA.REDES.006</t>
  </si>
  <si>
    <t>VIVO.SEGURA.REDES.007</t>
  </si>
  <si>
    <t>VIVO.SEGURA.REDES.008</t>
  </si>
  <si>
    <t>VIVO.SEGURA.REDES.009</t>
  </si>
  <si>
    <t>Documentação de arquitetura aplicacional demonstrando as camadas de controle de rede e os pontos de revalidação da autenticação.</t>
  </si>
  <si>
    <t>Auditoria de documentação e sistemas e/ou scan de vulnerbilade.</t>
  </si>
  <si>
    <t>VIVO.SEGURA.REDES.010</t>
  </si>
  <si>
    <t>Documentação de arquitetura aplicacional e endpoints que bloqueiem acessos desnecessários com lista restritiva.</t>
  </si>
  <si>
    <t>Auditoria de documentação e endpoints e/ou scan de vulnerabilidades.</t>
  </si>
  <si>
    <t>VIVO.SEGURA.REDES.011</t>
  </si>
  <si>
    <t>VIVO.SEGURA.REDES.012</t>
  </si>
  <si>
    <t>VIVO.SEGURA.REDES.013</t>
  </si>
  <si>
    <t>VIVO.SEGURA.RPA.001</t>
  </si>
  <si>
    <t>VIVO.SEGURA.RPA.002</t>
  </si>
  <si>
    <t>VIVO.SEGURA.RPA.003</t>
  </si>
  <si>
    <t>Evidência da obrigatoriedade do uso de senha forte no IAM ou cofre.</t>
  </si>
  <si>
    <t>Auditoria docontrole e validação de ausência de mecanismo compensatório ou de bypas.</t>
  </si>
  <si>
    <t>VIVO.SEGURA.RPA.004</t>
  </si>
  <si>
    <t>VIVO.SEGURA.RPA.005</t>
  </si>
  <si>
    <t>Documentação com evidências de controle de acesso dos MDSBs e de arquitetura aplicacional com evidências de implementação.</t>
  </si>
  <si>
    <t>Auditoria de sistemas, scan de vulnerabilidades e/ou teste de penetração.</t>
  </si>
  <si>
    <t>VIVO.SEGURA.RPA.006</t>
  </si>
  <si>
    <t>VIVO.SEGURA.RPA.007</t>
  </si>
  <si>
    <t>VIVO.SEGURA.SENHAS.001</t>
  </si>
  <si>
    <t>VIVO.SEGURA.SENHAS.002</t>
  </si>
  <si>
    <t>VIVO.SEGURA.SENHAS.003</t>
  </si>
  <si>
    <t>VIVO.SEGURA.SENHAS.004</t>
  </si>
  <si>
    <t>VIVO.SEGURA.SENHAS.005</t>
  </si>
  <si>
    <t>Senhas deverão conter: mínimo 12 caracteres; letras maiúscula e minúsculas, caracteres especiais e números.</t>
  </si>
  <si>
    <t>VIVO.SEGURA.SENHAS.006</t>
  </si>
  <si>
    <t>As senhas devem ser armazenadas de forma segura, nos locais apropriados definidos nas políticas de segurança da organização e jamais na aplicação, ou transacionadas de forma que não seja possível nem um ator conseguir a leitura em texto claro da senha</t>
  </si>
  <si>
    <t>VIVO.SEGURA.SENHAS.007</t>
  </si>
  <si>
    <t>Auditoria dos sistemas de acesso e/ou análise de código pela esteira de SecOps.</t>
  </si>
  <si>
    <t>VIVO.SEGURA.SERVIDORES.001</t>
  </si>
  <si>
    <t>O acesso a servidores deve exigir segundo fator de autenticação e a depender da criticidade do acesso, exigir o acesso via solução de PAM</t>
  </si>
  <si>
    <t>Auditoria nos métos de acesso.</t>
  </si>
  <si>
    <t>VIVO.SEGURA.SERVIDORES.002</t>
  </si>
  <si>
    <t>Implementar criptografia para dados em repouso, protegendo informações sensíveis de acesso não autorizado em servidores.</t>
  </si>
  <si>
    <t>Documentação de arquitetura aplicacional demonsrando o métodode ciptografia dos dados em repouso.</t>
  </si>
  <si>
    <t>Auditoria dos dados em repouso e/ou teste depenetração.</t>
  </si>
  <si>
    <t>VIVO.SEGURA.SERVIDORES.003</t>
  </si>
  <si>
    <t>Documentação dos mecanismos de geração de logs e evidências de conformidade com as políticas de geração, transporte e armazendamento de logs da TBRA.</t>
  </si>
  <si>
    <t>VIVO.SEGURA.SERVIDORES.004</t>
  </si>
  <si>
    <t>VIVO.SEGURA.SERVIDORES.005</t>
  </si>
  <si>
    <t>VIVO.SEGURA.SERVIDORES.006</t>
  </si>
  <si>
    <t>VIVO.SEGURA.SERVIDORES.007</t>
  </si>
  <si>
    <t>VIVO.SEGURA.SERVIDORES.008</t>
  </si>
  <si>
    <t>Evidência de uso das imagens e instalação dos agentes de segurança homologados.</t>
  </si>
  <si>
    <t>Relatórios dos endpoints de segurança.</t>
  </si>
  <si>
    <t>VIVO.SEGURA.SERVIDORES.009</t>
  </si>
  <si>
    <t>Evidência de instalação do agente de DLP.</t>
  </si>
  <si>
    <t>Relatório dos endpoints de segurança.</t>
  </si>
  <si>
    <t>VIVO.SEGURA.SERVIDORES.010</t>
  </si>
  <si>
    <t>VIVO.SEGURA.SERVIDORES.011</t>
  </si>
  <si>
    <t>VIVO.SEGURA.SERVIDORES.012</t>
  </si>
  <si>
    <t>Evidência de uso das imagens e instalação dos agentes de segurança homologados e hardenização aplicada de acordo com as normas da TBRA.</t>
  </si>
  <si>
    <t>Relatórios dos endpoints de segurança, scan de vulnerabilidades e/ou teste de penetração.</t>
  </si>
  <si>
    <t>VIVO.SEGURA.TRANSFERENCIADADOS.001</t>
  </si>
  <si>
    <t>VIVO.SEGURA.TRANSFERENCIADADOS.002</t>
  </si>
  <si>
    <t>Documentação da aplicação evidenciando que nenhuma troca de arquivos pode ocorrer fora dos canais homologados e estabelecidos adequadamente.</t>
  </si>
  <si>
    <t>Auditoria dos serviços de troca de arquivos, com garantia de conformidade a norma de não permissionamento de trocas de dados sem canais homologados.</t>
  </si>
  <si>
    <t>VIVO.SEGURA.TRANSFERENCIADADOS.003</t>
  </si>
  <si>
    <t>Teste de penetração.</t>
  </si>
  <si>
    <t>VIVO.SEGURA.TRANSFERENCIADADOS.004</t>
  </si>
  <si>
    <t>Para consumo de dados que necessitem de utilização de exposição do arquivos em portais, é necessário implementar autenticação multifator (MFA) e modelos de acesso baseado em RBAC</t>
  </si>
  <si>
    <t>Documentação dos perfils funcionais e acessos necessários. Evidencia dos controles aplicados.</t>
  </si>
  <si>
    <t>Auditoria com teste de mesa do nível funcional de cada nível funcional pré determinado.</t>
  </si>
  <si>
    <t>VIVO.SEGURA.TRANSFERENCIADADOS.005</t>
  </si>
  <si>
    <t>VIVO.SEGURA.TRANSFERENCIADADOS.006</t>
  </si>
  <si>
    <t>Documentação técnica da solução com evidência dos controles aplicados.</t>
  </si>
  <si>
    <t>Auditoria da documentação e do sistema com testes funcionais verificando a correta execução dos controles de exclusão sem possibilidade de bypass.</t>
  </si>
  <si>
    <t>VIVO.SEGURA.TRANSFERENCIADADOS.007</t>
  </si>
  <si>
    <t>Ticket com a solicitacão de avaliação e posicionamento formal do time de proteção de dados.</t>
  </si>
  <si>
    <t>Auditoria da análise e dos controles de segurança solicitados.</t>
  </si>
  <si>
    <t>VIVO.SEGURA.TRANSFERENCIADADOS.008</t>
  </si>
  <si>
    <t>A transferência de dados deve ocorrer via soluções homologadas pelo time de Segurança Digital.</t>
  </si>
  <si>
    <t>VIVO.SEGURA.TRANSFERENCIADADOS.009</t>
  </si>
  <si>
    <t>Documentação de arquitetura aplicacional demonstrando a integração com as ferramentas homologadas.</t>
  </si>
  <si>
    <t>Auditoria da documentação e das integrações com as feramentas homologadas. Teste de mesa com tentativa de transferência dos arquivos fora dos canais homologados.</t>
  </si>
  <si>
    <t>VIVO.SEGURA.TRANSFERENCIADADOS.010</t>
  </si>
  <si>
    <t>Qualquer compartilhamento de dados - externo (aliados) ou interno - utilizando ferramentas do Office365 (E-mail, Word, Excel, PowerPoint etc.) deverá obrigatoriamente estar classificado. As informações identificadas devem ser classificadas conforme sua sensibilidade: USO INTERNO, USO INTERNO RESTRITO ou RESERVADA. Orientações de como utilizar o recurso da Microsoft podem ser encontradas no Programa de Classificação: https://intranet.telefonica.com.br/sitearea-sd-classificacao-da-informacao?dropdown=1478730207414</t>
  </si>
  <si>
    <t>Qualquer compartilhamento de dados (interno ou externo) utilizando ferramentas do Office365 (E-mail, Word, Excel, PowerPoint etc.) deverá obrigatoriamente estar classificado conforme a sensibilidade da informação: USO INTERNO, USO INTERNO RESTRITO ou RESERVADA. Isso é essencial para manter controle sobre a exposição das informações e atender às diretrizes da Política de Classificação da Informação da VIVO.</t>
  </si>
  <si>
    <t>VIVO.SEGURA.TRANSFERENCIADADOS.011</t>
  </si>
  <si>
    <t>Quando necessário, sempre utilizar as ferramentas do Office365 (homologadas por TI) para transferência interna de dados/informações, com as devidas permissões de compartilhamento.</t>
  </si>
  <si>
    <t>Quando necessário, sempre utilizar ferramentas do Office365 homologadas por TI para transferência interna de dados/informações, com as devidas permissões de compartilhamento. Isso é essencial para evitar uso de canais não controlados, reduzir vetores de vazamento e garantir a rastreabilidade dos dados compartilhados.</t>
  </si>
  <si>
    <t>VIVO.SEGURA.TRANSFERENCIADADOS.012</t>
  </si>
  <si>
    <t>Havendo a necessidade de transferência de dados para ambiente externo, essa deverá ser feita exclusivamente por meio de ferramentas homologadas por TI e Segurança, e com tráfego criptografado. Para compartilhamento externo de quaisquer dados e informações deve-se possuir, minimamente, um contrato ou NDA com o parceiro.</t>
  </si>
  <si>
    <t>Transferências externas de dados devem ser feitas exclusivamente por ferramentas homologadas por TI e Segurança, com tráfego criptografado. Além disso, deve haver, minimamente, um contrato ou NDA com o parceiro. Isso é essencial para proteger os dados em trânsito e garantir a responsabilidade mútua no manuseio das informações.</t>
  </si>
  <si>
    <t>Evidência da existência de um NDA dentro de prazo válido.</t>
  </si>
  <si>
    <t>Verificar validade do NDA em relação ao controle.</t>
  </si>
  <si>
    <t>VIVO.SEGURA.WORKSTATION.001</t>
  </si>
  <si>
    <t>VIVO.SEGURA.WORKSTATION.002</t>
  </si>
  <si>
    <t>VIVO.SEGURA.WORKSTATION.003</t>
  </si>
  <si>
    <t>Evidência dos controles de atualização automáticas por GPO.</t>
  </si>
  <si>
    <t>Auditoria sobre as GPOs que impõem aos usuários atualização periódica atendendo as regras de negócio.</t>
  </si>
  <si>
    <t>VIVO.SEGURA.WORKSTATION.004</t>
  </si>
  <si>
    <t>VIVO.SEGURA.WORKSTATION.005</t>
  </si>
  <si>
    <t>Evidência de aplicação de hardening com bloqueios no sistema operativo e agente de segurança que realiza bloqueio dos dispositivos e proibição de uso.</t>
  </si>
  <si>
    <t>Auditoria e relatórios de sistemas de segurança e/ou tetes de penetração.</t>
  </si>
  <si>
    <t>VIVO.SEGURA.WORKSTATION.006</t>
  </si>
  <si>
    <t>Evidência de bloqueios por GPO e por endpoints de segurança.</t>
  </si>
  <si>
    <t>Auditoria dos controles configurados, testes funcionais e/ou testes de penetração.</t>
  </si>
  <si>
    <t>VIVO.SEGURA.WORKSTATION.007</t>
  </si>
  <si>
    <t>VIVO.SEGURA.DNS.001</t>
  </si>
  <si>
    <t>Todos os endpoints corporativos devem resolver nomes DNS exclusivamente via Protective DNS corporativo que bloqueie em tempo real domínios maliciosos, suspeitos ou categorizados como risco por inteligência de ameaças, forçando 100% do tráfego DNS externo pelos resolvers corporativos</t>
  </si>
  <si>
    <t>É obrigatório o uso de serviço de Protective DNS corporativo para resolução de nomes externos, com bloqueio em tempo real de domínios maliciosos, suspeitos ou categorizados como risco pela inteligência de ameaças. O Protective DNS é um serviço de resolução que, em vez de apenas "traduzir nome em IP", verifica cada query contra bases de inteligência de ameaças (C2, phishing, malware, exfiltração, etc.) e bloqueia a resolução quando o domínio é malicioso.</t>
  </si>
  <si>
    <t>Infrastructure Security – Network Security – DNS Security (NDNS)</t>
  </si>
  <si>
    <t>Confidencialidade, Disponibilidade</t>
  </si>
  <si>
    <t>Information Disclosure, Denial of Service</t>
  </si>
  <si>
    <t>Vazamento de dados via C2/DNS tunneling; Fraudes por phishing; Indisponibilidade por DoS em resolvers; Comprometimento de endpoints</t>
  </si>
  <si>
    <t>OWASP A04: Insecure Design, A05: Security Misconfiguration, NIST CSF 2.0 (PR.PT-3), CIS 13.5, MITRE ATT&amp;CK T1071.004</t>
  </si>
  <si>
    <t>Network Security – DNS Security, Threat Detection &amp; Response</t>
  </si>
  <si>
    <t>Validar destino serviço</t>
  </si>
  <si>
    <t>Crítico</t>
  </si>
  <si>
    <t>Contrato com provedor Protective DNS, Relatórios de bloqueios, Dashboard de proteção, Logs de queries bloqueadas</t>
  </si>
  <si>
    <t>Validar resolução forçada via proxy/DHCP/GPO; Testar bloqueios contra C2 conhecidos (dig @resolver.malware.com); Verificar 100% do tráfego DNS via resolvers corporativos</t>
  </si>
  <si>
    <t>VIVO.SEGURA.DNS.002</t>
  </si>
  <si>
    <t>Todas as zonas DNS gerenciadas pela Vivo devem ter DNSSEC habilitado com assinaturas criptográficas válidas, chaves rotacionadas periodicamente e cadeia de confiança íntegra para validar a integridade das respostas DNS contra cache poisoning</t>
  </si>
  <si>
    <t>Todas as zonas DNS sob responsabilidade da Vivo devem ter DNSSEC habilitado com manutenção em conformidade (assinaturas válidas, chaves rotacionadas, cadeia de confiança íntegra). DNSSEC adiciona assinaturas criptográficas às respostas DNS para garantir que o conteúdo não foi alterado entre o servidor autoritativo e o cliente.</t>
  </si>
  <si>
    <t>Integridade, Autenticação de Origem</t>
  </si>
  <si>
    <t>Spoofing, Tampering</t>
  </si>
  <si>
    <t>Fraudes por redirecionamento DNS; Danos financeiros por hijacking; Não conformidade regulatória; Indisponibilidade de serviços críticos</t>
  </si>
  <si>
    <t>OWASP A08: Software and Data Integrity Failures;
NIST SP 800‑81‑2: Secure Domain Name System (DNS) Deployment Guide;
CIS Controls v8 – Controle 9.4 (DNS Security);
MITRE ATT&amp;CK T1557.003 – Adversary-in-the-Middle: DNS Spoofing/Poisoning;
ENISA – Good Practices Guide for Deploying DNSSEC;</t>
  </si>
  <si>
    <t>Integridade, Autenticação de Origem (Não repúdio de forma indireta, via cadeia de confiança DNSSEC)</t>
  </si>
  <si>
    <t>Alto</t>
  </si>
  <si>
    <t>Certificados de validação DNSSEC, Logs de rotação de chaves, Relatórios de validadores externos</t>
  </si>
  <si>
    <t>dnssec-dsfromkey | dig +dnssec | Verificar validação em resolvers externos (DNSSEC Analyzer)</t>
  </si>
  <si>
    <t>VIVO.SEGURA.DNS.003</t>
  </si>
  <si>
    <t>Todo tráfego DNS corporativo deve utilizar canais criptografados DoH/DoT com resolvers confiáveis e ter bloqueadas consultas diretas às portas 53/853 para Internet, impedindo bypass de políticas corporativas de resolução e monitoramento</t>
  </si>
  <si>
    <t>Todo tráfego DNS entre clientes e resolvers corporativos deve usar canais criptografados (DoH/DoT), com bloqueio de consultas DNS diretas não autorizadas (porta 53/853) para fora do ambiente corporativo. DNS over HTTPS (DoH) e DNS over TLS (DoT) encapsulam as consultas DNS em canais criptografados.</t>
  </si>
  <si>
    <t>Spoofing, Information Disclosure</t>
  </si>
  <si>
    <t>Vazamento de queries DNS; Sniffing de padrões de navegação; Riscos operacionais por bypass de políticas; Exposição de dados sensíveis em trânsito</t>
  </si>
  <si>
    <t>OWASP A02: Cryptographic Failures,NIST CSF PR.AC-5, CIS 12.2, MITRE ATT&amp;CK T1040 (Network Sniffing)</t>
  </si>
  <si>
    <t>Network Security – DNS Security, Data Protection in Transit</t>
  </si>
  <si>
    <t>Certificados TLS/QUIC válidos, Logs de queries DoH/DoT, Registros de bloqueio de portas 53/853, Relatórios de conformidade de criptografia</t>
  </si>
  <si>
    <t>tcpdump -i any port 53 (verificar porta aberta); curl -H "Accept: application/dns-json" DoH endpoint; nslookup @resolver (validar DoT); Testar bloqueio outbound portas 53/853</t>
  </si>
  <si>
    <t>VIVO.SEGURA.DNS.004</t>
  </si>
  <si>
    <t>Todos os resolvers DNS corporativos devem implementar rate limiting e análise comportamental de queries para bloquear anomalias como DGA, tunneling DNS, NXDOMAIN excessivo e picos de volume característicos de ataques</t>
  </si>
  <si>
    <t>Serviços DNS corporativos devem implementar mecanismos de rate limiting e análise comportamental de queries para detectar e bloquear anomalias (DGA, tunneling, NXDOMAIN excessivo, picos de volume). Rate limiting impede que uma única origem faça volume anormal de consultas.</t>
  </si>
  <si>
    <t>Disponibilidade, Contenção</t>
  </si>
  <si>
    <t>Denial of Service, Lateral Movement</t>
  </si>
  <si>
    <t>Indisponibilidade de resolvers por DNS Flood; Amplificação de ataques; Exfiltração de dados via DNS tunneling; Movimentação lateral via DGA/NXDOMAIN excessivo</t>
  </si>
  <si>
    <t>OWASP A05: Security Misconfiguration, A03: Injection; NIST CSF PR.PT‑5; CIS 13.3; MITRE ATT&amp;CK T1498.002 (DNS Flood)</t>
  </si>
  <si>
    <t>Threat Detection &amp; Response – Network Threat Detection</t>
  </si>
  <si>
    <t>Moderado</t>
  </si>
  <si>
    <t>Detetivo</t>
  </si>
  <si>
    <t>Logs de rate limiting, Alertas de DGA/tunneling/NXDOMAIN, Relatórios de análise comportamental, Métricas de queries bloqueadas</t>
  </si>
  <si>
    <t>Analisar logs SIEM (splunk/dynatrace); Validar regras rate limiting (iptables/nftables); Teste DGA com ferramentas (dns-exfiltrator, iodine); Simular DNS flood; Verificar detecção de NXDOMAIN excessivo</t>
  </si>
  <si>
    <t>VIVO.SEGURA.DNS.005</t>
  </si>
  <si>
    <t>A resolução DNS deve seguir modelo Zero Trust com políticas condicionais baseadas em identidade do usuário, contexto do dispositivo, localização e postura de segurança, permitindo acesso apenas a domínios autorizados por perfil</t>
  </si>
  <si>
    <t>O acesso a serviços DNS deve seguir o modelo de Zero Trust, com políticas de resolução condicionais baseadas em identidade, contexto (dispositivo, localização, postura de segurança) e perfil de risco. Ambientes de desenvolvimento não devem resolver domínios de produção.</t>
  </si>
  <si>
    <t>Autorização, Confidencialidade</t>
  </si>
  <si>
    <t>Roubo de identidade via resolução DNS não autorizada; Fraudes por acesso a domínios de produção desde desenvolvimento; Bypass de políticas corporativas; Exposição de dados sensíveis por falta de segmentação por identidade</t>
  </si>
  <si>
    <t>Gartner ZT 2026, OWASP A01: Broken Access Control, A04: Insecure Design, A02: Cryptographic Failures; NIST CSF PR.AC‑5; CIS 6.2; MITRE ATT&amp;CK T1087 (Account Discovery)</t>
  </si>
  <si>
    <t>Identity Security – Zero Trust Access</t>
  </si>
  <si>
    <t>Logs de políticas DNS aplicadas por identidade, Relatórios de acesso DNS por perfil/context, MFA/Policy Decision Point logs, Dashboards ZTNA com resolução DNS segmentada</t>
  </si>
  <si>
    <t>Validar políticas ZTNA (acesso DNS por identidade/contexto); Testar resolução com diferentes perfis (dev/prod); Verificar bloqueios de domínios não autorizados; Simular bypass (resolver direto vs ZTNA); Validar contexto-aware policies (localização, postura dispositivo)</t>
  </si>
  <si>
    <t>VIVO.SEGURA.DNS.006</t>
  </si>
  <si>
    <t>Todos os resolvers e servidores DNS autoritativos devem gerar logs completos de queries e respostas integrados ao SOC/SIEM com alertas automatizados para padrões de ataque e suporte a investigações forenses</t>
  </si>
  <si>
    <t>Todos os resolvers e servidores autoritativos de DNS devem gerar logs completos de consultas e respostas, integrados ao SOC/SIEM, com alertas configurados para padrões de ataque. Logs devem incluir query name, origem, timestamp, resposta e flags.</t>
  </si>
  <si>
    <t>Não repúdio, Auditabilidade</t>
  </si>
  <si>
    <t>Danos à imagem por falta de evidências forenses; Não conformidade regulatória; Dificuldade de investigação de incidentes DNS; Falta de trilha de auditoria para conformidade</t>
  </si>
  <si>
    <t>OWASP A09: Security Logging and Monitoring Failures; NIST SP 800-53 Rev.5 (AU-12, SI-4); CIS 8.2; MITRE ATT&amp;CK T1526 (T1018 Reconnaissance via DNS logs)</t>
  </si>
  <si>
    <t>Security Operations &amp; Incident Management – SIEM &amp; Logging</t>
  </si>
  <si>
    <t>Logs DNS em SIEM (Splunk/ELK/QRadar), Alertas configurados para DGA/tunneling/DoS, Relatórios de investigação forense, Retenção de logs por 12+ meses, Dashboards de queries DNS</t>
  </si>
  <si>
    <t>Validar integração SIEM (Splunk forwarder/Syslog); Testar alertas para padrões maliciosos (DGA, tunneling, DNS flood); Verificar retenção de logs (12 meses); Query SIEM para reconstruir timeline de query suspeita; Validar campos logados (query name, client IP, timestamp, response, flags)</t>
  </si>
  <si>
    <t>VIVO.SEGURA.DNS.007</t>
  </si>
  <si>
    <t>Servidores DNS autoritativos e recursivos devem ser segregados fisicamente em funções e infraestrutura distintas com controles de hardening específicos para cada papel, minimizando propagação de falhas e ataques</t>
  </si>
  <si>
    <t>Servidores DNS autoritativos e recursivos devem ser segregados em funções e, sempre que possível, em infraestrutura distinta (hosts, VLANs, security groups). Servidores autoritativos respondem por zonas da Vivo; recursivos fazem resolução externa.</t>
  </si>
  <si>
    <t>Lateral Movement, Denial of Service</t>
  </si>
  <si>
    <t>Indisponibilidade total por single point of failure; Propagação de ataques entre autoritativo/recursivo; Amplificação de DoS de recursivos públicos; Comprometimento de zonas críticas por brechas em recursivos</t>
  </si>
  <si>
    <t>OWASP A04: Insecure Design, A05: Security Misconfiguration; NIST CSF PR.IP-1; CIS Control 13; MITRE ATT&amp;CK T1498 (Network DoS)</t>
  </si>
  <si>
    <t>Infrastructure Security – Network Segmentation</t>
  </si>
  <si>
    <t>Diagrama de arquitetura DNS (autoritativo vs recursivo), ACLs/firewalls entre VLANs/security groups, Hardening checklists (CIS DNS), Configurações de isolamento (VLANs, NSGs, Security Groups)</t>
  </si>
  <si>
    <t>Verificar VLANs/networks separadas (autoritativo vs recursivo); Testar ACLs entre segmentos (ping/block telnet); Validar isolamento lógico/físico; Simular falha em recursivo (verificar autoritativo intacto); Verificar hardening (cis-benchmarks)</t>
  </si>
  <si>
    <t>VIVO.SEGURA.DNS.008</t>
  </si>
  <si>
    <t xml:space="preserve">A recursão DNS deve ser desativada por padrão em todos os servidores onde não haja necessidade de uso e, quando estritamente requerida, deve ser limitada por controles de acesso (ACL) apenas a redes e sistemas internos explicitamente autorizados, de forma a prevenir resolvers abertos e reduzir o risco de uso indevido em ataques de amplificação ou outros abusos.
</t>
  </si>
  <si>
    <t>A recursão DNS deve ser desabilitada em servidores autoritativos e em qualquer servidor que não exija resolução recursiva para atender a um requisito de negócio. Nos servidores onde a recursão for necessária, o serviço deve ser exposto somente a segmentos de rede internos autorizados, controlados por ACLs, listas de clientes confiáveis ou mecanismos equivalentes de controle de acesso. É proibida a exposição de recursão para a Internet pública. A configuração deve ser revisada periodicamente, com validação automatizada sempre que possível, para garantir que não existam resolvers abertos nem configurações que permitam uso do ambiente da empresa em ataques de amplificação, abuso de largura de banda ou outras formas de exploração.</t>
  </si>
  <si>
    <t>Indisponibilidade por amplificação DoS; Fraudes/abuso de infraestrutura; Exposição pública de recursão; Consumo excessivo de banda/recurso; Reputação danificada por uso em botnets</t>
  </si>
  <si>
    <t>OWASP A05: Security Misconfiguration; NIST SP 800-81-2; CIS Control 9.2.</t>
  </si>
  <si>
    <t>Network Security – DNS Hardening</t>
  </si>
  <si>
    <t>Configuração DNS (named.conf/allow-recursion, pdns allow-from), ACL rules/firewalls, Relatórios teste open resolver, Checklist hardening DNS (CIS), Automação de validação (cron jobs)</t>
  </si>
  <si>
    <t>Verificar recursão desativada (dig @server +rec falha); Teste open resolver (dns.openresolver.com, ISC Open Resolver Test); Validar ACLs (dig @server from IPs autorizados/não autorizados); Scan automatizado (dnsrecon, masscan port 53)</t>
  </si>
  <si>
    <t>VIVO.SEGURA.DNS.009</t>
  </si>
  <si>
    <t>Transferências de zona (AXFR/IXFR) devem ser restritas por ACL de IPs autorizados de servidores secundários e protegidas por TSIG, impedindo enumeração completa da infraestrutura interna por atacantes</t>
  </si>
  <si>
    <t>Zone transfers (AXFR, IXFR) devem ser restritas por Access Control List (ACL) baseada em IP de servidores secundários autorizados e, preferencialmente, protegidas por TSIG. Transferências desprotegidas expõem toda a topologia interna.</t>
  </si>
  <si>
    <t>Roubo de informações de infraestrutura interna; Reconhecimento/footprinting completo da rede; Exposição de topologia interna (servidores, serviços, domínios); Facilitação de ataques direcionados</t>
  </si>
  <si>
    <t>OWASP A01: Broken Access Control, A05: Security Misconfiguration; NIST CSF PR.DS-2; CIS Control 9.5.</t>
  </si>
  <si>
    <t>Infrastructure Security – DNS Hardening</t>
  </si>
  <si>
    <t>Configuração TSIG (tsig.conf, pdns tsig-keys), ACL whitelist (allow-transfer {}), Relatórios teste zone transfer, Checklist hardening zone transfer</t>
  </si>
  <si>
    <t>dig @server AXFR zona.vivo.com (deve falhar de IP não autorizado); dig @server AXFR zona.vivo.com +tsig-key (sucesso apenas com chave); Verificar TSIG configurado; dnsrecon -t axfr -d zona.vivo.com (fail)</t>
  </si>
  <si>
    <t>VIVO.SEGURA.DNS.010</t>
  </si>
  <si>
    <t>Acesso administrativo a servidores DNS, consoles de provedores e registrars deve usar MFA com RBAC e segregação de funções entre administração, operação e aprovação de mudanças</t>
  </si>
  <si>
    <t>O acesso administrativo a servidores DNS, consoles de provedores DNS e registrars de domínio deve ser protegido com MFA e controles de acesso baseados em função (RBAC), com segregação de funções para administração, operação e aprovação.</t>
  </si>
  <si>
    <t>Identity Security – Privileged Access Management</t>
  </si>
  <si>
    <t>Autenticação, Autorização</t>
  </si>
  <si>
    <t>Roubo de identidade administrativa; Fraudes por alteração não autorizada de zonas DNS; Hijacking de domínios críticos; Comprometimento de infraestrutura DNS por credenciais roubadas</t>
  </si>
  <si>
    <t>OWASP A07: Identification and Authentication Failures, A01: Broken Access Control; NIST CSF PR.AC-4; CIS 6.5.</t>
  </si>
  <si>
    <t>Identity Security – Privileged Access Management (PAM)</t>
  </si>
  <si>
    <t>Validar provedor SaaS</t>
  </si>
  <si>
    <t>MFA habilitado (logs Okta/Duo), Matriz RBAC DNS (admin/op/approval), Audit trails de acesso administrativo, Relatórios de tentativas falhadas, Sessão recording (PAM)</t>
  </si>
  <si>
    <t>Testar MFA enforcement (login sem 2FA falha); Validar RBAC matrix (admin só aprova, op só executa); Verificar bloqueio sem MFA; Testar privilege escalation (user normal → admin); Audit logs SIEM (sucesso/falha acesso DNS)</t>
  </si>
  <si>
    <t>VIVO.SEGURA.DNS.011</t>
  </si>
  <si>
    <t>Todos os domínios da Vivo utilizados para envio ou recebimento de e‑mail devem possuir SPF, DKIM e DMARC configurados conforme política corporativa de segurança de e‑mail, usando apenas informações estritamente necessárias, sem inclusão de dados sensíveis nos registros DNS, e com políticas DMARC restritivas adequadas a ambientes de produção.</t>
  </si>
  <si>
    <t>Todo domínio sob responsabilidade da Vivo que seja usado para envio ou recebimento de e‑mail (incluindo subdomínios e aliases) deve ter registros SPF, DKIM e DMARC corretamente configurados e mantidos atualizados conforme a política corporativa.</t>
  </si>
  <si>
    <t>Integridade, Não Repúdio</t>
  </si>
  <si>
    <t>Fraudes por spoofing de email; Propagação malware via email falsificado; Phishing interno/externo; Danos reputacionais; Não conformidade com regulamentações anti-spam</t>
  </si>
  <si>
    <t>OWASP A05: Security Misconfiguration, A07: Identification and Authentication Failures; CIS 11.5.</t>
  </si>
  <si>
    <t>Infrastructure Security – Email Security (SPF/DKIM/DMARC)</t>
  </si>
  <si>
    <t>Registros SPF/DKIM/DMARC válidos (MX Toolbox), Relatórios DMARC agregados (EasyDMARC/DMARC Analyzer), Validação syntax SPF/DKIM, Política DMARC reject/quarantine, Monitoramento de falhas de autenticação</t>
  </si>
  <si>
    <t>dig TXT dominio.com (SPF); dig TXT _dmarc.dominio.com (DMARC); mxtoolbox.com SPF/DKIM/DMARC checker; Teste envio email com DKIM signature; dmarcian.com analyzer; Validar subdomínios/aliases</t>
  </si>
  <si>
    <t>VIVO.SEGURA.DNS.012</t>
  </si>
  <si>
    <t>Todos os domínios Vivo registrados em registrars externos devem ter mecanismos de proteção contra alteração e transferência não autorizadas habilitados (como domain lock/transfer lock ou equivalentes) e o acesso administrativo às contas de registro deve ser protegido por autenticação multifator e controles de acesso baseados em função, minimizando o risco de sequestro de domínio.</t>
  </si>
  <si>
    <t>Para cada domínio corporativo gerenciado em registrars externos, devem ser ativadas as proteções de segurança disponibilizadas pelo provedor, incluindo, no mínimo, bloqueio de transferência (domain lock/transfer lock) e, quando suportado, mecanismos adicionais como registry lock e alertas de alteração de dados de registro. O acesso administrativo às contas de registrar deve: utilizar autenticação multifator robusta; seguir o princípio do privilégio mínimo com perfis específicos para administração, operação e aprovação; e registrar em log todas as operações sensíveis, como desbloqueio de domínio, mudança de servidores DNS, alteração de contatos e solicitações de transferência. Processos de verificação periódica devem garantir que nenhum domínio crítico esteja sem domain lock ou com MFA desativado, e qualquer mudança nessas configurações deve seguir fluxo formal de aprovação e auditoria.</t>
  </si>
  <si>
    <t>Infrastructure Security – Security Governance &amp; Compliance</t>
  </si>
  <si>
    <t>Não Repúdio, Governança</t>
  </si>
  <si>
    <t>Indisponibilidade por sequestro de domínio; Danos à imagem por hijacking; Perda de controle de domínios críticos; Fraudes por alteração de DNS em registrars; Não conformidade com SSAC/ICANN</t>
  </si>
  <si>
    <t>OWASP A07: Identification and Authentication Failures, A01: Broken Access Control; NIST CSF ID.RA-1; CIS Control 16.8.</t>
  </si>
  <si>
    <t>Security Governance &amp; Compliance – Domain Management</t>
  </si>
  <si>
    <t>Baixo</t>
  </si>
  <si>
    <t>Domain lock/reglock ativo (screenshot registrar), MFA habilitado em contas registrar, Relatório inventário domínios (lock status), Matriz RBAC registrar accounts, Logs de mudanças sensíveis (WHOIS, DNS, transfer)</t>
  </si>
  <si>
    <t>Verificar domain lock status (GoDaddy/Namecheap/Route53 dashboard); Testar MFA no registrar portal; Tentar alteração sem MFA (fail); Auditoria semestral (spreadsheet domínios + status); Validar 2FA recovery process</t>
  </si>
  <si>
    <t>VIVO.SEGURA.DNS.013</t>
  </si>
  <si>
    <t>Deve ser mantido inventário automatizado e atualizado de todas as zonas e registros DNS da Vivo com classificação de criticidade, owner, TTL e data de próxima revisão</t>
  </si>
  <si>
    <t>Um inventário centralizado e atualizado de todas as zonas DNS gerenciadas pela Vivo e seus registros deve ser mantido, incluindo informações de criticidade, owner, TTL e data de próxima revisão. Registros órfãos criam riscos de takeover.</t>
  </si>
  <si>
    <t>Security Governance &amp; Compliance – Asset Management</t>
  </si>
  <si>
    <t>Riscos operacionais por registros órfãos; Não conformidade regulatória; Dificuldade de gestão de zonas; Exposição de domínios abandonados a takeover; Falta de visibilidade para auditorias</t>
  </si>
  <si>
    <t>OWASP A05: Security Misconfiguration, A04: Insecure Design; NIST CSF ID.AM-1; CIS Control 1.1.</t>
  </si>
  <si>
    <t>Security Governance &amp; Compliance – Asset Inventory Management</t>
  </si>
  <si>
    <t>Planilha/CMDB automatizada (ServiceNow), Relatório quinzenal de inventário DNS, Versão controlada (Git/SVN), Classificação criticidade/owner/TTL, Identificação registros órfãos, Dashboard visibilidade</t>
  </si>
  <si>
    <t>Validar completude inventário (compare com zonas dig/zone files); Identificar registros órfãos (age &gt; 90 dias sem uso); Cross-check com WHOIS/registrar; Automação discovery (dnsenum, dnsrecon); Relatório gaps quinzenal</t>
  </si>
  <si>
    <t>VIVO.SEGURA.DNS.014</t>
  </si>
  <si>
    <t>Deve ser mantido inventário automatizado de todos registros DNS com classificação de criticidade, owner, TTL e varredura mensal para identificação e remoção de registros órfãos</t>
  </si>
  <si>
    <t>Um inventário centralizado e automatizado de registros deve ser mantido com lista de A/AAAA/MX/TXT/CNAME/CAA, owner, classificação e varredura mensal para identificar registros órfãos que apontam para serviços decommissioned. Registros órfãos são vetores de subdomain takeover.</t>
  </si>
  <si>
    <t>Vulnerabilidades por subdomain takeover; Risco cadeia de fornecimento via registros órfãos; Exposição de serviços decommissioned; Ataques direcionados a subdomínios abandonados; Falta de visibilidade de superfície de ataque DNS</t>
  </si>
  <si>
    <t>OWASP A05: Security Misconfiguration, A04: Insecure Design; NIST CSF ID.AM-2; CIS Control 1.4.</t>
  </si>
  <si>
    <t>Relatório mensal varredura DNS, Cleanup log (registros removidos), CMDB atualizado com registros DNS, Inventário A/AAAA/MX/TXT/CNAME/CAA, Classificação criticidade/owner/TTL, Métricas subdomain takeover risk</t>
  </si>
  <si>
    <t>Executar script varredura (dnsrecon, sublist3r, Amass); Validar removals documentados (ticket/CMDB); Auditoria CMDB vs zonas ativas (dig AXFR); Identificar órfãos (CNAME para serviços 404); Teste subdomain takeover (can-i-take-over-xyz)</t>
  </si>
  <si>
    <t>VIVO.SEGURA.DNS.015</t>
  </si>
  <si>
    <t>Devem ser executados trimestralmente testes de segurança DNS incluindo pentests, validação DNSSEC, verificação zone transfer e detecção de open resolvers</t>
  </si>
  <si>
    <t>Testes de segurança específicos para DNS (pentests, varreduras de configuração, testes de DNSSEC, verificação de zone transfer aberto, scanning de open resolvers) devem ser incluídos na rotina de auditorias com frequência mínima trimestral.</t>
  </si>
  <si>
    <t>Threat Detection &amp; Response – Continuous Testing</t>
  </si>
  <si>
    <t>Spoofing, Tampering, Information Disclosure, Denial of Service, Elevation of Privilege</t>
  </si>
  <si>
    <t>Vulnerabilidades não detectadas; Indisponibilidade por falhas ocultas; Exposição contínua de misconfigurations; Falta de validação proativa da postura DNS</t>
  </si>
  <si>
    <t>OWASP A05: Security Misconfiguration, A04: Insecure Design; NIST SP 800-115; NIST RA-5; CIS Control 18.</t>
  </si>
  <si>
    <t>Threat Detection &amp; Response – Penetration Testing</t>
  </si>
  <si>
    <t>Relatório pentest DNS trimestral, Checklist DNSSEC/AXFR/Open Resolver, Remediation log (vulnerabilidades corrigidas), Executive summary riscos, Heatmap misconfigurations</t>
  </si>
  <si>
    <t>Executar dnsrecon (std/brute/axfr); dnsenum (enumeração); nmap DNS scanning (open ports 53/853); dnsviz.net (DNSSEC validation); Shodan DNS (open resolver scan); Zonemaster CLI (zone health)</t>
  </si>
  <si>
    <t>VIVO.SEGURA.DNS.016</t>
  </si>
  <si>
    <t>Criação e alteração de registros DNS devem seguir processo formal de change management com ticket, justificativa de negócio, dupla aprovação e validação técnica antes da publicação</t>
  </si>
  <si>
    <t>Qualquer criação ou alteração de registros DNS deve ser realizada por meio de processo formal de mudança com ticket contendo justificativa, owner, ambiente, impacto e dupla aprovação (área dona + segurança/arquitetura).</t>
  </si>
  <si>
    <t>Security Governance &amp; Compliance – Configuration Management</t>
  </si>
  <si>
    <t>Autorização, Não Repúdio</t>
  </si>
  <si>
    <t>Tampering, Elevation of Privilege</t>
  </si>
  <si>
    <t>Fraudes por alteração não autorizada de registros DNS; Indisponibilidade por mudanças mal testadas; Exposição por configurações incorretas; Dificuldade de rollback sem trilha de aprovação</t>
  </si>
  <si>
    <t>OWASP A05: Security Misconfiguration, A04: Insecure Design; NIST SP 800-128 (SecCM); NIST SP 800-53 (CM-3); CIS Control 4.3/7.1.</t>
  </si>
  <si>
    <t>Security Governance &amp; Compliance – Change Management</t>
  </si>
  <si>
    <t>Tickets Jira/ServiceNow com dupla aprovação, Checklist pré-publicação DNS, Logs de mudança (BIND rndc, PowerDNS API), SLA cumprimento (4h aprovação), Relatório auditoria mensal mudanças DNS</t>
  </si>
  <si>
    <t>Validar workflow automático (Jira → DNS publish); Verificar SLA aprovação (4h média); Auditoria mensal (100% mudanças com ticket); Testar bypass (mudança sem ticket bloqueada); Rollback simulado</t>
  </si>
  <si>
    <t>VIVO.SEGURA.DNS.017</t>
  </si>
  <si>
    <t>Registros DNS classificados como críticos (como MX, SPF, DKIM, DMARC, CAA e outros definidos pela política interna) devem passar por checklist técnico automatizado e revisão formal antes da publicação em produção, incluindo validação de sintaxe, detecção de conflitos, verificação de coerência com a política de segurança e checagem de exposição indevida de informações sensíveis.</t>
  </si>
  <si>
    <t>Antes da criação ou alteração de qualquer registro DNS crítico, o registro proposto deve ser submetido a uma ferramenta de validação automatizada capaz de verificar, no mínimo: sintaxe correta de SPF/DMARC; formato e parâmetros de DKIM; consistência de CAA com a política de autoridades certificadoras autorizadas; ausência de conflitos estruturais (por exemplo, CNAME coexistindo com outros tipos de registro no mesmo nome); e ausência de dados sensíveis ou informações internas desnecessárias. 
A saída dessa validação deve ser registrada junto ao ticket de mudança, e o registro só pode ser publicado após revisão e aprovação por profissional autorizado, responsável por confirmar aderência às políticas de segurança, compliance e arquitetura. Alterações urgentes devem seguir um fluxo acelerado documentado, mas sem eliminar a etapa de validação automatizada, e qualquer exceção aos padrões técnicos deve ter justificativa formal, prazo de revisão e plano de retorno ao padrão.</t>
  </si>
  <si>
    <t>Fraudes por misconfiguração SPF/DKIM/DMARC/CAA; Vazamento de dados sensíveis em registros DNS; Exposição de informações internas; Conflitos estruturais causando indisponibilidade</t>
  </si>
  <si>
    <t>OWASP A05: Security Misconfiguration, A08: Software and Data Integrity Failures; NIST CSF PR.DS-5; CIS 11.5.</t>
  </si>
  <si>
    <t>Infrastructure Security – DNS Configuration Management</t>
  </si>
  <si>
    <t>Ferramenta automatizada validação (MXToolbox API/DNSLint), Relatório pré-publicação registros críticos, Checklist assinado (SPF/DKIM/DMARC/CAA), Log de validação syntax/conflitos, Exceções justificadas com prazo</t>
  </si>
  <si>
    <t>Executar validação automática (MXToolbox API, dnslint, dnsviz); Testar com ferramentas online (mxtoolbox.com SPF/DKIM/DMARC/CAA); Checklist pré-publish (sintaxe/conflitos/sensíveis); Validar submissão ticket → aprovação → publish</t>
  </si>
  <si>
    <t>VIVO.SEGURA.DNS.018</t>
  </si>
  <si>
    <t>Antes de mudanças em registros DNS críticos, o TTL deve ser ajustado temporariamente para um valor reduzido, definido em política e aprovado no plano de mudança, a fim de facilitar propagação controlada e rollback com menor impacto; após a confirmação de estabilidade, o TTL deve ser restabelecido para o valor padrão aprovado, alinhado às boas práticas de desempenho, resiliência e cache de DNS.</t>
  </si>
  <si>
    <t xml:space="preserve">
Toda mudança em registros DNS críticos (como registros de front-end de aplicações, MX, endpoints de APIs ou serviços de autenticação) deve incluir, no plano de mudança, uma etapa de ajuste de TTL: reduzir antecipadamente o TTL para um valor baixo, pré-definido em política (por exemplo, alguns minutos), em tempo hábil para que resolvers externos atualizem seus caches antes da janela de alteração. 
Após a implementação, durante o período de observação definido (por exemplo, algumas horas ou um ciclo de negócio), o funcionamento de serviços e logs de aplicação deve ser monitorado para detectar erros de resolução ou comportamento anômalo; se a mudança for considerada estável, o TTL deve ser reajustado para um valor padrão mais alto (por exemplo, entre 1 e 4 horas, conforme a política de cada tipo de serviço), de forma a equilibrar resiliência e eficiência de cache. 
Valores de TTL extremamente baixos ou altos só podem ser utilizados em caráter excepcional mediante justificativa, análise de impacto documentada e aprovação formal no processo de gestão de mudanças, evitando tanto oscilações desnecessárias de tráfego quanto janelas prolongadas de propagação em caso de rollback.
</t>
  </si>
  <si>
    <t>Indisponibilidade prolongada por propagação lenta; Falha rollback devido TTL alto; Impacto negócio por cache persistente em mudança errada; Exposição a ataques durante janela de propagação</t>
  </si>
  <si>
    <t>OWASP A05: Security Misconfiguration, A04: Insecure Design; NIST CSF PR.IP-7; CIS Control 9.3.</t>
  </si>
  <si>
    <t>Infrastructure Security – DNS Operations</t>
  </si>
  <si>
    <t>TTL reduzido pré-mudança (300s comprovado dig), Logs estabilidade 24h (Splunk/Datadog), Plano rollback documentado, Monitoramento propagação (dnscheck tools), TTL restaurado pós-validação</t>
  </si>
  <si>
    <t>Verificar TTL atual (dig +short +nocmd TTL); Validar redução pré-mudança (TTL=300s); Testar rollback simulado; Monitorar propagação global (dnsviz.net TTL map); Confirmar restauração TTL padrão (1-4h)</t>
  </si>
  <si>
    <t>VIVO.SEGURA.DNS.019</t>
  </si>
  <si>
    <t>Antes de criar/alterar registros A/AAAA, IPs destino devem ser validados com scan de exposição pública, confirmação de firewall/WAF e declaração do owner de que o IP é seguro para exposição</t>
  </si>
  <si>
    <t>Antes de criar ou alterar registros A/AAAA, o IP destino deve ser validado: escanear o IP para verificar se está exposto a internet sem proteção, conferir regras de firewall/WAF e solicitar confirmação do owner. Evita exposição acidental de IPs internos.</t>
  </si>
  <si>
    <t>Vazamento de dados por exposição acidental de IPs internos; Riscos operacionais por DNS apontando para serviços não protegidos; Bypass de firewall/WAF por resolução direta; Ataques direcionados a IPs recém-expostos</t>
  </si>
  <si>
    <t>OWASP A05: Security Misconfiguration, A01: Broken Access Control; NIST CSF PR.AC-3; CIS Control 12.4.</t>
  </si>
  <si>
    <t>Network Security – Exposure Management</t>
  </si>
  <si>
    <t>Scan de IP destino (nmap/Shodan relatório), Validação firewall/WAF rules, Declaração assinada owner (IP seguro exposição), Checklist pré-DNS publish, Log de validação no ticket mudança</t>
  </si>
  <si>
    <t>Executar nmap -sV -sC IP destino; Shodan search IP; Verificar WAF rules (Cloudflare/AWS WAF logs); Solicitar declaração owner (formulário); Confirmar portas fechadas exceto esperado (443/80); Validar sem serviços internos expostos</t>
  </si>
  <si>
    <t>VIVO.SEGURA.DNS.020</t>
  </si>
  <si>
    <t>Após 24-48h de mudanças DNS em produção, deve ser executada auditoria global de resolução com plano de rollback pronto, verificando logs de aplicações e funcionamento de serviços dependentes</t>
  </si>
  <si>
    <t>Após 24 a 48 horas de uma mudança DNS em produção, deve ser realizada auditoria para verificar resolução global, ausência de erros em logs de aplicações e funcionamento de sistemas dependentes. Plano de rollback com TTL baixo deve estar pronto.</t>
  </si>
  <si>
    <t>Security Operations &amp; Incident Mgmt – Audit &amp; Monitoring</t>
  </si>
  <si>
    <t>Não Repúdio</t>
  </si>
  <si>
    <t>Danos à imagem por mudanças DNS não auditadas; Não conformidade regulatória; Dificuldade rollback sem evidências; Falta de visibilidade impactos negócio pós-mudança</t>
  </si>
  <si>
    <t>OWASP A05: Security Misconfiguration, A09: Security Logging and Monitoring Failures; NIST SP 800-53 (AU-6, RA-5); CIS Control 6.2.</t>
  </si>
  <si>
    <t>Security Operations &amp; Incident Mgmt</t>
  </si>
  <si>
    <t>Security Operations &amp; Incident Mgmt – Post-Change Audit</t>
  </si>
  <si>
    <t>Relatório auditoria DNS global (24-48h pós-mudança), Logs aplicação SIEM (Splunk/QRadar), Resultado teste rollback (TTL baixo), Checklist resolução múltiplos resolvers públicos, Declaração estabilidade serviços</t>
  </si>
  <si>
    <t>Validar resolução global (dig @8.8.8.8, @1.1.1.1, @208.67.222.222); Analisar app logs SIEM (erro DNS); Testar rollback (TTL baixo + mudança reversa); Confirmar propagação completa (dnscheck.net)</t>
  </si>
  <si>
    <t>VIVO.SEGURA.DNS.021</t>
  </si>
  <si>
    <t>Registros TXT usados para autenticação, autorização ou verificação de domínios (incluindo SPF, DKIM, DMARC, CAA e verificações de serviços externos) devem seguir políticas padronizadas da Vivo, não podem conter dados sensíveis e devem ser submetidos a validação automatizada de sintaxe, coerência e exposição antes da publicação.</t>
  </si>
  <si>
    <t xml:space="preserve">Todos os registros TXT utilizados para autenticação de remetente de e‑mail (SPF, DKIM, DMARC), controle de emissão de certificados (CAA) ou validação de posse de domínio por serviços externos devem ser tratados como configurações públicas, devendo expor apenas dados estritamente necessários ao funcionamento dos protocolos, como chaves públicas, parâmetros de política e endereços ou aliases funcionais.
É proibido inserir nesses registros dados pessoais, credenciais, tokens secretos, identificadores internos sensíveis ou detalhes de infraestrutura que não sejam essenciais ao protocolo. 
A política padronizada deve definir padrões mínimos, como: SPF restrito a remetentes autorizados, evitando mecanismos genéricos; DMARC com parâmetros de alinhamento e política compatíveis com o nível de proteção esperado; DKIM com chaves de tamanho adequado e rotação definida; CAA restringindo CAs autorizadas e, se usado, campo iodef apontando para canais funcionais controlados. 
Qualquer nova entrada ou alteração deve passar por ferramenta de validação automatizada e revisão técnica, e exceções às políticas padrão devem ser temporárias, registradas e acompanhadas por plano de retorno ao baseline.
</t>
  </si>
  <si>
    <t>Fraudes por misconfiguração autenticação (SPF/DKIM/DMARC); Propagação malware via email spoofing; Vazamento dados sensíveis em registros TXT públicos; Exposição credenciais/tokens em CAA/DMARC</t>
  </si>
  <si>
    <t>OWASP A07: Identification and Authentication Failures, A05: Security Misconfiguration; CIS 11.1.</t>
  </si>
  <si>
    <t>Infrastructure Security – DNS Data Protection</t>
  </si>
  <si>
    <t>Configuração registros TXT padronizados, Relatório validação automatizada (syntax/policy), Histórico rotação DKIM, Checklist CAA/DMARC/SPF compliance, Ausência dados sensíveis auditada</t>
  </si>
  <si>
    <t>Validar SPF syntax (dig TXT + mxtoolbox.com/spf); Verificar DMARC policy (dmarcian.com); Testar DKIM signature (mail-tester.com); CAA validation (caa.tool); Scan secrets TXT (trufflehog dns)</t>
  </si>
  <si>
    <t>VIVO.SEGURA.DNS.022</t>
  </si>
  <si>
    <t>A equipe responsável por infraestrutura e segurança de DNS deve receber treinamento periódico, com conteúdo alinhado às políticas e ameaças atuais, suportado por runbooks documentados e atualizados, e complementado por simulações regulares de falhas, incidentes e rollback, garantindo execução segura e consistente dos procedimentos críticos.</t>
  </si>
  <si>
    <t xml:space="preserve">Profissionais que atuam na operação, administração e segurança de serviços DNS devem participar de um programa estruturado de treinamento e conscientização, com, no mínimo, um ciclo anual focado em processos de mudança, melhores práticas de configuração, resposta a incidentes relacionados a DNS (incluindo DDoS, subdomain takeover, falhas de resolução e problemas com DNSSEC) e integração com demais equipes de infraestrutura e segurança. 
Devem existir runbooks claramente documentados, versionados e acessíveis, que descrevam passo a passo procedimentos de aprovação, validação, publicação, auditoria e rollback de mudanças, bem como fluxos de escalonamento em incidentes. 
Esses runbooks devem ser exercitados por meio de simulações planejadas (por exemplo, trimestrais), cobrindo cenários de falhas técnicas e de segurança, com registro dos resultados, pontos de melhoria identificados e atualizações subsequentes nos procedimentos e no conteúdo de treinamento.
</t>
  </si>
  <si>
    <t>Security Governance &amp; Compliance – Security Awareness &amp; Training</t>
  </si>
  <si>
    <t>Capacidade Operacional</t>
  </si>
  <si>
    <t>Riscos operacionais por falta de qualificação; Não conformidade regulatória; Incidentes DNS por procedimentos não padronizados; Dificuldade rollback sem runbooks atualizados</t>
  </si>
  <si>
    <t>OWASP A05: Security Misconfiguration, A09: Security Logging and Monitoring Failures; NIST SP 800-50; NIST SP 800-53 AT-2; CIS 14.8.</t>
  </si>
  <si>
    <t>Security Governance &amp; Compliance – Training &amp; Runbooks</t>
  </si>
  <si>
    <t>Treinamento</t>
  </si>
  <si>
    <t>Certificados treinamento anual DNS team, Runbook v2.0+ versionado (Confluence/Git), Relatório simulação trimestral (failover/rollback), Checklist qualificação operadores, Matriz competências DNS</t>
  </si>
  <si>
    <t>Validar documentação runbook (coverage 100% procedimentos); Executar drill failover trimestral; Verificar logs simulações; Quiz treinamento (80% aprovação); Auditoria runbook vs procedimentos reais</t>
  </si>
  <si>
    <t>VIVO.SEGURA.DNS.023</t>
  </si>
  <si>
    <t>Criação/alteração de CNAMEs para serviços externos deve ter justificativa de negócio, validação técnica do destino e aprovação dupla (área dona + segurança)</t>
  </si>
  <si>
    <t>Qualquer criação ou alteração de registros CNAME para serviços externos deve ter justificativa clara, validação técnica do serviço destino e aprovação dupla. Ticket deve incluir subdomínio, URL destino, razão do redirect e proprietário do serviço.</t>
  </si>
  <si>
    <t>Elevation of Privilege, Information Disclosure</t>
  </si>
  <si>
    <t>Invasão de aplicativos via CNAME para serviços inseguros; Vulnerabilidades CRM expostas por redirect não validado; Bypass de segurança apontando para destinos não autorizados; Supply chain attack via terceiros</t>
  </si>
  <si>
    <t>OWASP A05: Security Misconfiguration, A01: Broken Access Control; NIST CSF ID.AM-3; CIS Control 1.5.</t>
  </si>
  <si>
    <t>Security Governance &amp; Compliance – CNAME Governance</t>
  </si>
  <si>
    <t>Ticket mudança com dupla aprovação (área dona + segurança), Checklist validação CNAME (URL destino, razão negócio, owner serviço), Declaração segurança destino, SLA aprovação &lt;4h, Audit trail completo</t>
  </si>
  <si>
    <t>Validar workflow aprovação Jira (ticket → 2 aprovações); Verificar SLA &lt;4h (95%ile); Audit trail 100% mudanças CNAME; Testar bypass (CNAME sem aprovação bloqueado); Checklist preenchido (URL segura, justificativa)</t>
  </si>
  <si>
    <t>VIVO.SEGURA.DNS.024</t>
  </si>
  <si>
    <t>Antes de publicar CNAMEs, deve ser executado checklist anti-takeover com probe do destino ativo, confirmação do owner e scan automatizado de vulnerabilidades de takeover</t>
  </si>
  <si>
    <t>Antes de publicar um novo CNAME, checklist anti-takeover: verificar serviço destino ativo (probe HTTP/HTTPS), confirmar com owner e executar scan com dnsrecon/subjack. Re-scan mensal para detectar destinos desativados.</t>
  </si>
  <si>
    <t>Threat Detection &amp; Response – Continuous Threat Exposure Management (CTEM)</t>
  </si>
  <si>
    <t>Confidencialidade, Contenção</t>
  </si>
  <si>
    <t>Spoofing, Lateral Movement</t>
  </si>
  <si>
    <t>Roubo de informações via subdomain takeover; Fraudes por controle de subdomínios abandonados; Exposição de aplicações críticas em serviços descontinuados; Ataques direcionados a CNAME dangling</t>
  </si>
  <si>
    <t>OWASP A05: Security Misconfiguration, A01: Broken Access Control; OWASP WSTG – Test for Subdomain Takeover.</t>
  </si>
  <si>
    <t>Threat Detection &amp; Response – Subdomain Takeover Prevention</t>
  </si>
  <si>
    <t>Relatório scan anti-takeover pré-publicação (dnsrecon/subjack), Log mensal re-scans, Checklist destino ativo (HTTP 200), Declaração owner serviço, Automação GitHub Actions CI/CD</t>
  </si>
  <si>
    <t>Executar dnsrecon -t brt -D sub.vivo.com; subjack -w subdomains.txt -t 100 -c 10; dnsx -silent -a -resp; Validar destino HTTP 200; Re-scan mensal (cronjob); Teste takeover simulado (can-i-take-over-xyz)</t>
  </si>
  <si>
    <t>VIVO.SEGURA.DNS.025</t>
  </si>
  <si>
    <t>Registros CNAME devem obedecer a políticas de modelagem e segurança que proíbam conflitos com outros tipos de registro no mesmo nome, evitem exposição direta de serviços internos ou sensíveis e desencorajem encadeamentos excessivos, privilegiando o uso de camadas intermediárias seguras (como proxy ou WAF) para publicação de serviços críticos.</t>
  </si>
  <si>
    <t xml:space="preserve">   </t>
  </si>
  <si>
    <t xml:space="preserve">Infrastructure Security – Network Security – DNS Security (NDNS) </t>
  </si>
  <si>
    <t>Vazamento de dados por CNAME direto backend; Danos à imagem por serviços internos expostos; Bypass WAF/proxy via resolução direta; Conflitos DNS RFC violando resolução correta</t>
  </si>
  <si>
    <t>OWASP A01: Broken Access Control, A05: Security Misconfiguration; RFC 1034/1035 (CNAME semantics).</t>
  </si>
  <si>
    <t>Infrastructure Security – DNS Record Hardening</t>
  </si>
  <si>
    <t>Políticas CNAME documentadas (wiki/Confluence), WAF rules para serviços sensíveis, Audit compliance registros (sem conflitos/single-label), Inventário CNAME chains, Checklist pré-publish (RFC compliance)</t>
  </si>
  <si>
    <t>Validar políticas wiki (CNAME rules); Testar bloqueio single-label CNAME (NXDOMAIN); Verificar WAF rules (app → proxy → WAF); dnsrecon conflicts (CNAME + MX coexistência); Monitorar CNAME chains (max depth 3)</t>
  </si>
  <si>
    <t>VIVO.SEGURA.DNS.026</t>
  </si>
  <si>
    <t>Todos os CNAMEs devem ser varridos automaticamente a cada 30 dias para detectar destinos desativados com alerta imediato à segurança e procedimento automatizado de cleanup</t>
  </si>
  <si>
    <t>Todos os CNAMEs devem ser varridos a cada 30 dias para identificar destinos inativos que devem ser alertados à segurança, investigados e removidos/redirecionados. Ferramentas como dnsx/dnsrecon automatizam a varredura mensal.</t>
  </si>
  <si>
    <t>Riscos operacionais por dangling CNAMEs; Não conformidade regulatória; Subdomain takeover não detectado; Dificuldade cleanup sem visibilidade automatizada</t>
  </si>
  <si>
    <t>OWASP A05: Security Misconfiguration, A09: Security Logging and Monitoring Failures; NIST RA-5; CIS 1.2.</t>
  </si>
  <si>
    <t>Threat Detection &amp; Response – Continuous Scanning</t>
  </si>
  <si>
    <t>Script varredura automatizada (GitHub Actions/AWS Lambda), Relatório mensal dangling CNAMEs, Alerts SOC (Elastic/Splunk), Log cleanup ações, Métricas tempo resposta (MTTR takeover)</t>
  </si>
  <si>
    <t>Executar varredura manual (dnsrecon -t brt); Validar alerts SIEM (Elastic rule dangling); Verificar cleanup SLA (7 dias); Teste simulação takeover (subjack); Confirmar automação cron mensal</t>
  </si>
  <si>
    <t>VIVO.SEGURA.DNS.027</t>
  </si>
  <si>
    <t>Relatórios DMARC agregados (RUA) e forenses (RUF) devem ser tratados como informações sensíveis de telemetria e, quando aplicável, de conteúdo de e‑mail, sendo enviados apenas para destinos autorizados pela Vivo, protegidos por controles de acesso, criptografia e políticas de retenção, com uso de provedores terceiros somente mediante avaliação de risco e acordo contratual adequado</t>
  </si>
  <si>
    <t>Relatórios RUA (estatísticas agregadas de autenticação) devem ser direcionados exclusivamente para plataformas internas ou provedores aprovados sob contrato, protegidos por autenticação forte (MFA), criptografia em trânsito/re repouso e acesso restrito a perfis autorizados. Relatórios RUF (forenses), que podem conter cabeçalhos e trechos de mensagens, só devem ser habilitados quando estritamente necessário, sendo classificados como dados sensíveis com políticas de retenção máxima de 90 dias, criptografia obrigatória e proibição de compartilhamento com terceiros sem DPA. É proibido expor relatórios DMARC em registros DNS públicos ou direcioná-los para domínios não controlados pela Vivo.</t>
  </si>
  <si>
    <t>Data Security – Data Loss Prevention</t>
  </si>
  <si>
    <t>Confidencialidade, Não Repúdio</t>
  </si>
  <si>
    <t>Information Disclosure, Repudiation</t>
  </si>
  <si>
    <t>Vazamento dados clientes RUF; Roubo identidade via telemetria DMARC; Riscos operacionais relatórios expostos; Não conformidade GDPR/LGPD PII processing</t>
  </si>
  <si>
    <t>OWASP A09: Security Logging and Monitoring Failures, A02: Cryptographic Failures; NIST SP 800-53 (AU-12, SI-4); CIS Control 8.2</t>
  </si>
  <si>
    <t>Data Security – DMARC Report Governance</t>
  </si>
  <si>
    <t>Política governança DMARC relatórios, Configuração rua/ruf domínios autorizados, Logs acesso relatórios (SIEM), Contratos/DPA provedores DMARC, Política retenção 90 dias, MFA endpoints RUA/RUF</t>
  </si>
  <si>
    <t>dig _dmarc.dominio.com (rua/ruf apenas autorizados); Verificar criptografia trânsito/repose (TLS 1.3 + AES256); Testar acesso não autorizado (fail); Validar retenção 90 dias (log purge); DPA audit terceiros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</si>
</sst>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sz val="11"/>
      <color rgb="FF000000"/>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3"/>
      <color rgb="FF000000"/>
      <name val="Arial"/>
      <family val="2"/>
    </font>
    <font>
      <sz val="13"/>
      <color rgb="FF000000"/>
      <name val="Inherit"/>
    </font>
    <font>
      <sz val="11"/>
      <color theme="0"/>
      <name val="Calibri"/>
      <family val="2"/>
      <scheme val="minor"/>
    </font>
    <font>
      <sz val="10"/>
      <color theme="0"/>
      <name val="Aptos Narrow"/>
      <family val="2"/>
    </font>
    <font>
      <sz val="10"/>
      <color rgb="FF7030A0"/>
      <name val="Aptos Narrow"/>
      <family val="2"/>
    </font>
    <font>
      <sz val="11"/>
      <color rgb="FF7030A0"/>
      <name val="Calibri"/>
      <family val="2"/>
      <scheme val="minor"/>
    </font>
    <font>
      <sz val="11"/>
      <color theme="0"/>
      <name val="Aptos Narrow"/>
      <family val="2"/>
    </font>
    <font>
      <sz val="10"/>
      <name val="Aptos Narrow"/>
      <family val="2"/>
    </font>
    <font>
      <b/>
      <sz val="11"/>
      <name val="Calibri"/>
      <family val="2"/>
      <scheme val="minor"/>
    </font>
    <font>
      <b/>
      <sz val="11"/>
      <name val="Inherit"/>
    </font>
    <font>
      <sz val="11"/>
      <name val="Arial"/>
      <family val="2"/>
    </font>
    <font>
      <b/>
      <sz val="9"/>
      <color rgb="FF000000"/>
      <name val="Vivo Type"/>
      <family val="3"/>
    </font>
    <font>
      <sz val="9"/>
      <color rgb="FF000000"/>
      <name val="Vivo Type"/>
      <family val="3"/>
    </font>
    <font>
      <b/>
      <sz val="9"/>
      <color theme="7"/>
      <name val="Vivo Type"/>
      <family val="3"/>
    </font>
    <font>
      <sz val="9"/>
      <color theme="7"/>
      <name val="Vivo Type"/>
      <family val="3"/>
    </font>
    <font>
      <sz val="9"/>
      <name val="Vivo Type"/>
      <family val="3"/>
    </font>
    <font>
      <sz val="7"/>
      <color rgb="FF172B4D"/>
      <name val="Segoe UI"/>
      <family val="2"/>
    </font>
    <font>
      <b/>
      <sz val="7"/>
      <color rgb="FF172B4D"/>
      <name val="Segoe UI"/>
      <family val="2"/>
    </font>
    <font>
      <sz val="9"/>
      <color theme="2" tint="-0.499984740745262"/>
      <name val="Calibri"/>
      <family val="2"/>
      <scheme val="minor"/>
    </font>
    <font>
      <u/>
      <sz val="11"/>
      <color theme="10"/>
      <name val="Calibri"/>
      <family val="2"/>
      <scheme val="minor"/>
    </font>
    <font>
      <b/>
      <sz val="12"/>
      <color rgb="FFF8FAFF"/>
      <name val="Inter"/>
      <charset val="1"/>
    </font>
    <font>
      <sz val="12"/>
      <color rgb="FFF8FAFF"/>
      <name val="Inter"/>
      <charset val="1"/>
    </font>
    <font>
      <i/>
      <sz val="10"/>
      <color theme="0"/>
      <name val="Aptos Narrow"/>
      <family val="2"/>
    </font>
    <font>
      <sz val="10"/>
      <color rgb="FFFF0000"/>
      <name val="Aptos Narrow"/>
      <family val="2"/>
    </font>
    <font>
      <sz val="12"/>
      <color theme="1"/>
      <name val="Calibri"/>
      <family val="2"/>
      <scheme val="minor"/>
    </font>
    <font>
      <sz val="8"/>
      <name val="Calibri"/>
      <family val="2"/>
      <scheme val="minor"/>
    </font>
    <font>
      <sz val="10"/>
      <color theme="5"/>
      <name val="Aptos Narrow"/>
      <family val="2"/>
    </font>
    <font>
      <sz val="10"/>
      <color theme="0"/>
      <name val="Aptos Narrow"/>
    </font>
    <font>
      <sz val="10"/>
      <color rgb="FF7030A0"/>
      <name val="Aptos Narrow"/>
    </font>
  </fonts>
  <fills count="8">
    <fill>
      <patternFill patternType="none"/>
    </fill>
    <fill>
      <patternFill patternType="gray125"/>
    </fill>
    <fill>
      <patternFill patternType="solid">
        <fgColor rgb="FFFFFF00"/>
        <bgColor indexed="64"/>
      </patternFill>
    </fill>
    <fill>
      <patternFill patternType="solid">
        <fgColor rgb="FF7030A0"/>
        <bgColor indexed="64"/>
      </patternFill>
    </fill>
    <fill>
      <patternFill patternType="solid">
        <fgColor rgb="FFFF0000"/>
        <bgColor indexed="64"/>
      </patternFill>
    </fill>
    <fill>
      <patternFill patternType="solid">
        <fgColor rgb="FFFFFFFF"/>
        <bgColor indexed="64"/>
      </patternFill>
    </fill>
    <fill>
      <patternFill patternType="solid">
        <fgColor theme="0"/>
        <bgColor indexed="64"/>
      </patternFill>
    </fill>
    <fill>
      <patternFill patternType="solid">
        <fgColor rgb="FF292A2D"/>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1C7D0"/>
      </left>
      <right style="medium">
        <color rgb="FFC1C7D0"/>
      </right>
      <top style="medium">
        <color rgb="FFC1C7D0"/>
      </top>
      <bottom style="medium">
        <color rgb="FFC1C7D0"/>
      </bottom>
      <diagonal/>
    </border>
    <border>
      <left style="thin">
        <color rgb="FF000000"/>
      </left>
      <right style="thin">
        <color rgb="FF000000"/>
      </right>
      <top style="thin">
        <color rgb="FF000000"/>
      </top>
      <bottom style="medium">
        <color rgb="FFDDDDDD"/>
      </bottom>
      <diagonal/>
    </border>
    <border>
      <left style="thin">
        <color rgb="FF000000"/>
      </left>
      <right style="thin">
        <color rgb="FF000000"/>
      </right>
      <top style="medium">
        <color rgb="FFDDDDDD"/>
      </top>
      <bottom style="medium">
        <color rgb="FFDDDDDD"/>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3">
    <xf numFmtId="0" fontId="0" fillId="0" borderId="0"/>
    <xf numFmtId="0" fontId="24" fillId="0" borderId="0" applyNumberFormat="0" applyFill="0" applyBorder="0" applyAlignment="0" applyProtection="0"/>
    <xf numFmtId="0" fontId="29" fillId="0" borderId="0"/>
  </cellStyleXfs>
  <cellXfs count="94">
    <xf numFmtId="0" fontId="0" fillId="0" borderId="0" xfId="0"/>
    <xf numFmtId="0" fontId="0" fillId="0" borderId="1" xfId="0" applyBorder="1"/>
    <xf numFmtId="0" fontId="0" fillId="2" borderId="1" xfId="0" applyFill="1" applyBorder="1"/>
    <xf numFmtId="0" fontId="0" fillId="0" borderId="0" xfId="0" applyAlignment="1">
      <alignment wrapText="1"/>
    </xf>
    <xf numFmtId="0" fontId="1" fillId="0" borderId="0" xfId="0" applyFont="1"/>
    <xf numFmtId="0" fontId="2" fillId="0" borderId="1" xfId="0" applyFont="1" applyBorder="1"/>
    <xf numFmtId="0" fontId="1" fillId="4" borderId="0" xfId="0" applyFont="1" applyFill="1"/>
    <xf numFmtId="0" fontId="0" fillId="4" borderId="1" xfId="0" applyFill="1" applyBorder="1"/>
    <xf numFmtId="0" fontId="2" fillId="4" borderId="1" xfId="0" applyFont="1" applyFill="1" applyBorder="1"/>
    <xf numFmtId="0" fontId="1" fillId="0" borderId="1" xfId="0" applyFont="1" applyBorder="1"/>
    <xf numFmtId="0" fontId="0" fillId="0" borderId="2" xfId="0" applyBorder="1"/>
    <xf numFmtId="0" fontId="1" fillId="0" borderId="2" xfId="0" applyFont="1" applyBorder="1"/>
    <xf numFmtId="0" fontId="0" fillId="0" borderId="0" xfId="0" applyAlignment="1">
      <alignment horizontal="left" vertical="center" wrapText="1" indent="1"/>
    </xf>
    <xf numFmtId="0" fontId="6" fillId="0" borderId="0" xfId="0" applyFont="1" applyAlignment="1">
      <alignment horizontal="left" vertical="center" wrapText="1" indent="1"/>
    </xf>
    <xf numFmtId="0" fontId="5" fillId="0" borderId="0" xfId="0" applyFont="1" applyAlignment="1">
      <alignment horizontal="left" vertical="center" wrapText="1" indent="1"/>
    </xf>
    <xf numFmtId="0" fontId="6" fillId="0" borderId="0" xfId="0" applyFont="1" applyAlignment="1">
      <alignment horizontal="left" vertical="center" indent="1"/>
    </xf>
    <xf numFmtId="0" fontId="0" fillId="0" borderId="0" xfId="0" applyAlignment="1">
      <alignment vertical="center" wrapText="1"/>
    </xf>
    <xf numFmtId="0" fontId="9" fillId="0" borderId="3" xfId="0" applyFont="1" applyBorder="1" applyAlignment="1">
      <alignment horizontal="center" vertical="center" wrapText="1"/>
    </xf>
    <xf numFmtId="0" fontId="10" fillId="0" borderId="0" xfId="0" applyFont="1" applyAlignment="1">
      <alignment horizontal="center" vertical="center" wrapText="1"/>
    </xf>
    <xf numFmtId="0" fontId="3" fillId="0" borderId="0" xfId="0" applyFont="1"/>
    <xf numFmtId="0" fontId="3" fillId="0" borderId="0" xfId="0" applyFont="1" applyAlignment="1">
      <alignment wrapText="1"/>
    </xf>
    <xf numFmtId="0" fontId="8" fillId="3" borderId="4" xfId="0" applyFont="1" applyFill="1" applyBorder="1" applyAlignment="1">
      <alignment horizontal="center" vertical="center" wrapText="1"/>
    </xf>
    <xf numFmtId="0" fontId="9" fillId="0" borderId="5" xfId="0" applyFont="1" applyBorder="1" applyAlignment="1">
      <alignment horizontal="center" vertical="center"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9" fillId="0" borderId="9" xfId="0" applyFont="1" applyBorder="1" applyAlignment="1">
      <alignment horizontal="center" vertical="center" wrapText="1"/>
    </xf>
    <xf numFmtId="0" fontId="8" fillId="0" borderId="0" xfId="0" applyFont="1" applyAlignment="1">
      <alignment horizontal="center" vertical="center" wrapText="1"/>
    </xf>
    <xf numFmtId="0" fontId="8" fillId="3" borderId="9" xfId="0" applyFont="1" applyFill="1" applyBorder="1" applyAlignment="1">
      <alignment horizontal="center" vertical="center" wrapText="1"/>
    </xf>
    <xf numFmtId="0" fontId="7" fillId="3" borderId="1" xfId="0" applyFont="1" applyFill="1" applyBorder="1"/>
    <xf numFmtId="0" fontId="9" fillId="0" borderId="1" xfId="0" applyFont="1" applyBorder="1" applyAlignment="1">
      <alignment horizontal="center" vertical="center"/>
    </xf>
    <xf numFmtId="0" fontId="9" fillId="0" borderId="1" xfId="0" applyFont="1" applyBorder="1" applyAlignment="1">
      <alignment vertical="center"/>
    </xf>
    <xf numFmtId="0" fontId="11" fillId="3" borderId="1" xfId="0" applyFont="1" applyFill="1" applyBorder="1" applyAlignment="1">
      <alignment vertical="center"/>
    </xf>
    <xf numFmtId="0" fontId="8" fillId="3" borderId="10" xfId="0" applyFont="1" applyFill="1" applyBorder="1" applyAlignment="1">
      <alignment horizontal="center" vertical="center"/>
    </xf>
    <xf numFmtId="0" fontId="12" fillId="0" borderId="0" xfId="0" applyFont="1" applyAlignment="1">
      <alignment horizontal="center" vertical="center" wrapText="1"/>
    </xf>
    <xf numFmtId="0" fontId="13" fillId="0" borderId="0" xfId="0" applyFont="1"/>
    <xf numFmtId="0" fontId="13" fillId="0" borderId="0" xfId="0" applyFont="1" applyAlignment="1">
      <alignment wrapText="1"/>
    </xf>
    <xf numFmtId="0" fontId="14" fillId="0" borderId="0" xfId="0" applyFont="1" applyAlignment="1">
      <alignment vertical="center"/>
    </xf>
    <xf numFmtId="0" fontId="4" fillId="0" borderId="0" xfId="0" applyFont="1"/>
    <xf numFmtId="0" fontId="4" fillId="0" borderId="0" xfId="0" applyFont="1" applyAlignment="1">
      <alignment wrapText="1"/>
    </xf>
    <xf numFmtId="0" fontId="15" fillId="0" borderId="0" xfId="0" applyFont="1" applyAlignment="1">
      <alignment vertical="center"/>
    </xf>
    <xf numFmtId="0" fontId="16" fillId="5" borderId="15" xfId="0" applyFont="1" applyFill="1" applyBorder="1" applyAlignment="1">
      <alignment horizontal="center" vertical="center" wrapText="1"/>
    </xf>
    <xf numFmtId="0" fontId="16" fillId="5" borderId="16" xfId="0" applyFont="1" applyFill="1" applyBorder="1" applyAlignment="1">
      <alignment horizontal="center" vertical="center" wrapText="1"/>
    </xf>
    <xf numFmtId="0" fontId="17" fillId="0" borderId="12" xfId="0" applyFont="1" applyBorder="1" applyAlignment="1">
      <alignment horizontal="center" vertical="center" wrapText="1"/>
    </xf>
    <xf numFmtId="0" fontId="17" fillId="0" borderId="14" xfId="0" applyFont="1" applyBorder="1" applyAlignment="1">
      <alignment horizontal="center" vertical="center" wrapText="1"/>
    </xf>
    <xf numFmtId="0" fontId="18" fillId="5" borderId="16" xfId="0" applyFont="1" applyFill="1" applyBorder="1" applyAlignment="1">
      <alignment horizontal="center" vertical="center" wrapText="1"/>
    </xf>
    <xf numFmtId="0" fontId="19" fillId="0" borderId="14" xfId="0" applyFont="1" applyBorder="1" applyAlignment="1">
      <alignment horizontal="center" vertical="center" wrapText="1"/>
    </xf>
    <xf numFmtId="0" fontId="3" fillId="0" borderId="0" xfId="0" applyFont="1" applyAlignment="1">
      <alignment vertical="center" wrapText="1"/>
    </xf>
    <xf numFmtId="0" fontId="17" fillId="0" borderId="0" xfId="0" applyFont="1" applyAlignment="1">
      <alignment horizontal="center" vertical="center" wrapText="1"/>
    </xf>
    <xf numFmtId="0" fontId="17" fillId="0" borderId="13" xfId="0" applyFont="1" applyBorder="1" applyAlignment="1">
      <alignment horizontal="center" vertical="center" wrapText="1"/>
    </xf>
    <xf numFmtId="0" fontId="17" fillId="0" borderId="11" xfId="0" applyFont="1" applyBorder="1" applyAlignment="1">
      <alignment horizontal="center" vertical="center" wrapText="1"/>
    </xf>
    <xf numFmtId="0" fontId="19"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8" fillId="3" borderId="3" xfId="0" applyFont="1" applyFill="1" applyBorder="1" applyAlignment="1">
      <alignment horizontal="center" vertical="center" wrapText="1"/>
    </xf>
    <xf numFmtId="0" fontId="9" fillId="0" borderId="0" xfId="0" applyFont="1" applyAlignment="1">
      <alignment horizontal="center" vertical="center" wrapText="1"/>
    </xf>
    <xf numFmtId="0" fontId="23" fillId="6" borderId="1" xfId="0" applyFont="1" applyFill="1" applyBorder="1" applyAlignment="1">
      <alignment horizontal="center" vertical="center" wrapText="1"/>
    </xf>
    <xf numFmtId="0" fontId="22" fillId="5" borderId="17" xfId="0" applyFont="1" applyFill="1" applyBorder="1" applyAlignment="1">
      <alignment horizontal="left" vertical="top" wrapText="1"/>
    </xf>
    <xf numFmtId="0" fontId="21" fillId="5" borderId="17" xfId="0" applyFont="1" applyFill="1" applyBorder="1" applyAlignment="1">
      <alignment horizontal="left" vertical="top" wrapText="1"/>
    </xf>
    <xf numFmtId="0" fontId="22" fillId="5" borderId="17" xfId="0" applyFont="1" applyFill="1" applyBorder="1" applyAlignment="1">
      <alignment horizontal="left" vertical="center" wrapText="1"/>
    </xf>
    <xf numFmtId="0" fontId="21" fillId="5" borderId="17" xfId="0" applyFont="1" applyFill="1" applyBorder="1" applyAlignment="1">
      <alignment horizontal="left" vertical="center" wrapText="1"/>
    </xf>
    <xf numFmtId="0" fontId="9" fillId="0" borderId="6" xfId="0" applyFont="1" applyBorder="1" applyAlignment="1">
      <alignment horizontal="center" vertical="center" wrapText="1"/>
    </xf>
    <xf numFmtId="0" fontId="24" fillId="0" borderId="3" xfId="1" applyBorder="1" applyAlignment="1">
      <alignment horizontal="center" vertical="center" wrapText="1"/>
    </xf>
    <xf numFmtId="0" fontId="25" fillId="7" borderId="0" xfId="0" applyFont="1" applyFill="1" applyAlignment="1">
      <alignment wrapText="1"/>
    </xf>
    <xf numFmtId="0" fontId="26" fillId="7" borderId="0" xfId="0" applyFont="1" applyFill="1" applyAlignment="1">
      <alignment wrapText="1"/>
    </xf>
    <xf numFmtId="0" fontId="27" fillId="3" borderId="7" xfId="0" applyFont="1" applyFill="1" applyBorder="1" applyAlignment="1">
      <alignment horizontal="center" vertical="center" wrapText="1"/>
    </xf>
    <xf numFmtId="0" fontId="28" fillId="0" borderId="3" xfId="0" applyFont="1" applyBorder="1" applyAlignment="1">
      <alignment horizontal="center" vertical="center" wrapText="1"/>
    </xf>
    <xf numFmtId="0" fontId="8" fillId="3" borderId="4" xfId="2" applyFont="1" applyFill="1" applyBorder="1" applyAlignment="1">
      <alignment horizontal="center" vertical="center" wrapText="1"/>
    </xf>
    <xf numFmtId="0" fontId="28" fillId="3" borderId="3" xfId="0" applyFont="1" applyFill="1" applyBorder="1" applyAlignment="1">
      <alignment horizontal="center" vertical="center" wrapText="1"/>
    </xf>
    <xf numFmtId="0" fontId="8" fillId="3" borderId="3" xfId="2" applyFont="1" applyFill="1" applyBorder="1" applyAlignment="1">
      <alignment horizontal="center" vertical="center" wrapText="1"/>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0" fillId="0" borderId="0" xfId="0" applyAlignment="1">
      <alignment horizontal="left" vertical="top"/>
    </xf>
    <xf numFmtId="0" fontId="9" fillId="0" borderId="0" xfId="0" applyFont="1" applyAlignment="1">
      <alignment horizontal="left" vertical="top" wrapText="1"/>
    </xf>
    <xf numFmtId="0" fontId="2"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center" vertical="center" wrapText="1"/>
    </xf>
    <xf numFmtId="0" fontId="31" fillId="0" borderId="3" xfId="0" applyFont="1" applyBorder="1" applyAlignment="1">
      <alignment horizontal="center" vertical="center" wrapText="1"/>
    </xf>
    <xf numFmtId="0" fontId="8" fillId="3" borderId="4" xfId="0" applyFont="1" applyFill="1" applyBorder="1" applyAlignment="1">
      <alignment horizontal="center" vertical="top" wrapText="1"/>
    </xf>
    <xf numFmtId="0" fontId="24" fillId="0" borderId="0" xfId="1" applyAlignment="1">
      <alignment horizontal="center" wrapText="1"/>
    </xf>
    <xf numFmtId="0" fontId="9" fillId="0" borderId="3" xfId="0" applyFont="1" applyBorder="1" applyAlignment="1">
      <alignment horizontal="center" vertical="top" wrapText="1"/>
    </xf>
    <xf numFmtId="0" fontId="31" fillId="0" borderId="9" xfId="0" applyFont="1" applyBorder="1" applyAlignment="1">
      <alignment horizontal="center" vertical="center" wrapText="1"/>
    </xf>
    <xf numFmtId="0" fontId="8" fillId="3" borderId="3" xfId="0" applyFont="1" applyFill="1" applyBorder="1" applyAlignment="1">
      <alignment horizontal="center" vertical="top"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32" fillId="3" borderId="3" xfId="0" applyFont="1" applyFill="1" applyBorder="1" applyAlignment="1">
      <alignment horizontal="center" vertical="center" wrapText="1"/>
    </xf>
    <xf numFmtId="0" fontId="33" fillId="0" borderId="3" xfId="0" applyFont="1" applyBorder="1" applyAlignment="1">
      <alignment horizontal="center" vertical="center" wrapText="1"/>
    </xf>
    <xf numFmtId="0" fontId="33" fillId="0" borderId="21" xfId="0" applyFont="1" applyBorder="1" applyAlignment="1">
      <alignment horizontal="center" vertical="center" wrapText="1"/>
    </xf>
    <xf numFmtId="0" fontId="33" fillId="0" borderId="4" xfId="0" applyFont="1" applyBorder="1" applyAlignment="1">
      <alignment horizontal="center" vertical="center" wrapText="1"/>
    </xf>
    <xf numFmtId="0" fontId="33" fillId="0" borderId="1" xfId="0" applyFont="1" applyBorder="1" applyAlignment="1">
      <alignment horizontal="center" vertical="center" wrapText="1"/>
    </xf>
    <xf numFmtId="0" fontId="8" fillId="3" borderId="0" xfId="0" applyFont="1" applyFill="1" applyAlignment="1">
      <alignment horizontal="center" vertical="center" wrapText="1"/>
    </xf>
    <xf numFmtId="0" fontId="8" fillId="3" borderId="22" xfId="0" applyFont="1" applyFill="1" applyBorder="1" applyAlignment="1">
      <alignment horizontal="center" vertical="center" wrapText="1"/>
    </xf>
    <xf numFmtId="0" fontId="9" fillId="0" borderId="4" xfId="0" applyFont="1" applyBorder="1" applyAlignment="1">
      <alignment horizontal="center" vertical="center" wrapText="1"/>
    </xf>
  </cellXfs>
  <cellStyles count="3">
    <cellStyle name="Hiperlink" xfId="1" builtinId="8"/>
    <cellStyle name="Normal" xfId="0" builtinId="0"/>
    <cellStyle name="Normal 2" xfId="2" xr:uid="{FB56E0AB-FBF3-448E-BB5C-5F123D7208C3}"/>
  </cellStyles>
  <dxfs count="140">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0"/>
        <name val="Aptos Narrow"/>
        <family val="2"/>
        <scheme val="none"/>
      </font>
      <fill>
        <patternFill patternType="solid">
          <fgColor indexed="64"/>
          <bgColor rgb="FF7030A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0"/>
        <name val="Aptos Narrow"/>
        <family val="2"/>
        <scheme val="none"/>
      </font>
      <fill>
        <patternFill patternType="solid">
          <fgColor indexed="64"/>
          <bgColor rgb="FF7030A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0"/>
        <name val="Aptos Narrow"/>
        <scheme val="none"/>
      </font>
      <fill>
        <patternFill patternType="solid">
          <fgColor indexed="64"/>
          <bgColor rgb="FF7030A0"/>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numFmt numFmtId="0" formatCode="Genera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family val="2"/>
        <scheme val="none"/>
      </font>
      <fill>
        <patternFill patternType="solid">
          <fgColor indexed="64"/>
          <bgColor rgb="FF7030A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0"/>
        <name val="Aptos Narrow"/>
        <scheme val="none"/>
      </font>
      <fill>
        <patternFill patternType="solid">
          <fgColor indexed="64"/>
          <bgColor rgb="FF7030A0"/>
        </patternFill>
      </fill>
      <alignment horizontal="center" vertical="center" textRotation="0" wrapText="1"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0"/>
        <name val="Aptos Narrow"/>
        <scheme val="none"/>
      </font>
      <fill>
        <patternFill patternType="solid">
          <fgColor indexed="64"/>
          <bgColor rgb="FF7030A0"/>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numFmt numFmtId="0" formatCode="Genera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7030A0"/>
        <name val="Aptos Narrow"/>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0"/>
        <name val="Aptos Narrow"/>
        <family val="2"/>
        <scheme val="none"/>
      </font>
      <fill>
        <patternFill patternType="solid">
          <fgColor indexed="64"/>
          <bgColor rgb="FF7030A0"/>
        </patternFill>
      </fill>
      <alignment horizontal="center" vertical="center"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10"/>
        <color theme="0"/>
        <name val="Aptos Narrow"/>
        <scheme val="none"/>
      </font>
      <fill>
        <patternFill patternType="solid">
          <fgColor indexed="64"/>
          <bgColor rgb="FF7030A0"/>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rgb="FF7030A0"/>
        <name val="Aptos Narrow"/>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0"/>
        <name val="Aptos Narrow"/>
        <scheme val="none"/>
      </font>
      <fill>
        <patternFill patternType="solid">
          <fgColor indexed="64"/>
          <bgColor rgb="FF7030A0"/>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color rgb="FF9C0006"/>
      </font>
    </dxf>
    <dxf>
      <font>
        <color rgb="FF9C0006"/>
      </font>
    </dxf>
    <dxf>
      <font>
        <color rgb="FF9C0006"/>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5683250</xdr:colOff>
      <xdr:row>13</xdr:row>
      <xdr:rowOff>31750</xdr:rowOff>
    </xdr:from>
    <xdr:to>
      <xdr:col>0</xdr:col>
      <xdr:colOff>8953500</xdr:colOff>
      <xdr:row>27</xdr:row>
      <xdr:rowOff>16233</xdr:rowOff>
    </xdr:to>
    <xdr:pic>
      <xdr:nvPicPr>
        <xdr:cNvPr id="7" name="Imagem 1">
          <a:extLst>
            <a:ext uri="{FF2B5EF4-FFF2-40B4-BE49-F238E27FC236}">
              <a16:creationId xmlns:a16="http://schemas.microsoft.com/office/drawing/2014/main" id="{612F713C-DF33-CF29-F908-EAD9D081752B}"/>
            </a:ext>
          </a:extLst>
        </xdr:cNvPr>
        <xdr:cNvPicPr>
          <a:picLocks noChangeAspect="1"/>
        </xdr:cNvPicPr>
      </xdr:nvPicPr>
      <xdr:blipFill>
        <a:blip xmlns:r="http://schemas.openxmlformats.org/officeDocument/2006/relationships" r:embed="rId1"/>
        <a:stretch>
          <a:fillRect/>
        </a:stretch>
      </xdr:blipFill>
      <xdr:spPr>
        <a:xfrm>
          <a:off x="5683250" y="2656417"/>
          <a:ext cx="3270250" cy="2562583"/>
        </a:xfrm>
        <a:prstGeom prst="rect">
          <a:avLst/>
        </a:prstGeom>
      </xdr:spPr>
    </xdr:pic>
    <xdr:clientData/>
  </xdr:twoCellAnchor>
  <xdr:twoCellAnchor editAs="oneCell">
    <xdr:from>
      <xdr:col>0</xdr:col>
      <xdr:colOff>9154584</xdr:colOff>
      <xdr:row>13</xdr:row>
      <xdr:rowOff>127000</xdr:rowOff>
    </xdr:from>
    <xdr:to>
      <xdr:col>5</xdr:col>
      <xdr:colOff>273051</xdr:colOff>
      <xdr:row>27</xdr:row>
      <xdr:rowOff>6350</xdr:rowOff>
    </xdr:to>
    <xdr:pic>
      <xdr:nvPicPr>
        <xdr:cNvPr id="6" name="Imagem 2" descr="Mapeamento">
          <a:extLst>
            <a:ext uri="{FF2B5EF4-FFF2-40B4-BE49-F238E27FC236}">
              <a16:creationId xmlns:a16="http://schemas.microsoft.com/office/drawing/2014/main" id="{4336924E-83A3-1937-214C-FCDDE5D0E1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54584" y="2751667"/>
          <a:ext cx="8930217" cy="2457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elefonicacorp.sharepoint.com/sites/brazil/ArquiteturaSeguranca/Repositrio%20%20Arquitetura%20e%20Cloud%20Security/03.%20Padr&#245;es%20de%20Arquitetura%20de%20Seguran&#231;a/Requisitos%20de%20Seguran&#231;a/New/GovernancaBaseRequisitos.xlsx" TargetMode="External"/><Relationship Id="rId1" Type="http://schemas.openxmlformats.org/officeDocument/2006/relationships/externalLinkPath" Target="GovernancaBaseRequisit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_i-ys5DV7UOZeHjiqdSwuYyw5_amrv5Dpir5yoULu2Q0abS9f04YTadc6gWPIfi-" itemId="01TRVVP7DIJMV6SVNNBNFLVBIYOZK4I5WQ">
      <xxl21:absoluteUrl r:id="rId2"/>
    </xxl21:alternateUrls>
    <sheetNames>
      <sheetName val="CS-Estruturante"/>
      <sheetName val="Servidores"/>
      <sheetName val="Versão3"/>
      <sheetName val="Versão2"/>
      <sheetName val="Versão1"/>
      <sheetName val="NewVersion"/>
      <sheetName val="Sheet1"/>
      <sheetName val="VersaoAjustada"/>
      <sheetName val="Ajustes proteção"/>
      <sheetName val="New Version"/>
      <sheetName val="Planilha2"/>
      <sheetName val="To-Dos"/>
      <sheetName val="Formatação"/>
      <sheetName val="Planilha1"/>
      <sheetName val="Retirados"/>
      <sheetName val="Correlação"/>
      <sheetName val="Planilha3"/>
      <sheetName val="GovernancaBaseRequisit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r1" id="{FBB6DC6F-DAE1-416E-8A60-CE3A89AA2E5F}">
    <nsvFilter filterId="{8DAB3C62-54CD-4BE6-A177-7B69BE0E3557}" ref="A1:O141" tableId="1"/>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r1" id="{DF4D51E1-C12E-4509-8F09-D2126A79BFF5}">
    <nsvFilter filterId="{8DAB3C62-54CD-4BE6-A177-7B69BE0E3557}" ref="B1:AH194" tableId="2"/>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r1" id="{462B6D01-C57B-4BE2-804B-7E937A5ED6DF}"/>
</namedSheetViews>
</file>

<file path=xl/persons/person.xml><?xml version="1.0" encoding="utf-8"?>
<personList xmlns="http://schemas.microsoft.com/office/spreadsheetml/2018/threadedcomments" xmlns:x="http://schemas.openxmlformats.org/spreadsheetml/2006/main">
  <person displayName="Gabriel De Freitas Ferreira" id="{FB1EC01A-2AA0-4ED6-92DD-E9584D0C9247}" userId="gabriel.ferreira@telefonica.com" providerId="PeoplePicker"/>
  <person displayName="Reginaldo De Araujo Barreto" id="{723A7BD6-17DA-464A-8794-3872B407C99E}" userId="reginaldo.barreto@telefonica.com" providerId="PeoplePicker"/>
  <person displayName="Gabriel De Freitas Ferreira" id="{690036C6-47A5-4BBE-84BE-2507D27CF277}" userId="S::gabriel.ferreira@telefonica.com::4414573d-4b17-475f-838e-03f840a23dd2" providerId="AD"/>
  <person displayName="Jamile Pinheiro Silva" id="{99591562-502D-4A33-82A0-2360995FBC4F}" userId="S::jamile.pinheiro@compasso.com.br::33b6c225-c0af-442b-83b1-d791fc4bf4c0" providerId="AD"/>
  <person displayName="Reginaldo De Araujo Barreto" id="{608E7E14-6A14-40A6-A8A2-B6ADFA88862F}" userId="S::reginaldo.barreto@telefonica.com::6296db7b-0266-4577-9e09-385d98ea479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#REF!</fb>
    <v>3</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AB3C62-54CD-4BE6-A177-7B69BE0E3557}" name="Tabela1" displayName="Tabela1" ref="A1:O141" totalsRowShown="0" headerRowDxfId="135" dataDxfId="134" headerRowBorderDxfId="132" tableBorderDxfId="133" totalsRowBorderDxfId="131">
  <autoFilter ref="A1:O141" xr:uid="{8DAB3C62-54CD-4BE6-A177-7B69BE0E3557}">
    <filterColumn colId="2">
      <filters>
        <filter val="API"/>
      </filters>
    </filterColumn>
  </autoFilter>
  <sortState xmlns:xlrd2="http://schemas.microsoft.com/office/spreadsheetml/2017/richdata2" ref="A2:O141">
    <sortCondition descending="1" ref="C1:C141"/>
  </sortState>
  <tableColumns count="15">
    <tableColumn id="1" xr3:uid="{054057D9-8AC6-4841-A23E-3543A90EC191}" name="Controle/Correlação" dataDxfId="130"/>
    <tableColumn id="3" xr3:uid="{E15D807A-FFE3-406D-B9B5-B472A83550EC}" name="Detalhamento do requisito" dataDxfId="129"/>
    <tableColumn id="2" xr3:uid="{2058BCDC-5714-4041-928D-37D165137A93}" name="Componente" dataDxfId="128"/>
    <tableColumn id="15" xr3:uid="{73DA0951-48FD-424E-9816-7273E421CF61}" name="Propriedade" dataDxfId="127"/>
    <tableColumn id="14" xr3:uid="{2D26F79A-A528-4386-B8E9-0DD86C37C167}" name="STRIDE LM" dataDxfId="126"/>
    <tableColumn id="16" xr3:uid="{388B1234-2C69-42D9-9B48-2F98479EEEF2}" name="Riscos/Impacto" dataDxfId="125">
      <calculatedColumnFormula array="1">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calculatedColumnFormula>
    </tableColumn>
    <tableColumn id="13" xr3:uid="{B3BD515C-6801-4125-8C37-3D8099E759F6}" name="OWASP-TOP10" dataDxfId="124"/>
    <tableColumn id="11" xr3:uid="{31086882-FB87-4DDA-999B-9B40DFB0C634}" name="Estrutura - Sistema de Informação" dataDxfId="123"/>
    <tableColumn id="5" xr3:uid="{387BDE6D-17F8-4797-8144-9EDBC3F02C00}" name="Categoria de Segurança" dataDxfId="122"/>
    <tableColumn id="6" xr3:uid="{5A025463-1730-481D-97CE-6FFB1CADA01B}" name="On-Prem" dataDxfId="121"/>
    <tableColumn id="7" xr3:uid="{2ACE078E-7B3E-45FE-A41C-39C9D14647B2}" name="IaaS" dataDxfId="120"/>
    <tableColumn id="8" xr3:uid="{E8BA0C8C-1873-4EFB-9DD8-F6B5E1D7EA0C}" name="PaaS" dataDxfId="119"/>
    <tableColumn id="9" xr3:uid="{3A8225CC-64C3-4E05-9989-C889811D667C}" name="SaaS" dataDxfId="118"/>
    <tableColumn id="12" xr3:uid="{06A07BA5-CA4D-4AB2-B81A-65D20A7FA85E}" name="Tecnologia/Processo" dataDxfId="117"/>
    <tableColumn id="10" xr3:uid="{67874930-2592-4FD9-8034-E1EDE235A9B7}" name="Como fazer" dataDxfId="11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97D61B-76A4-4FEA-A029-92A188F7A3CB}" name="Tabela13" displayName="Tabela13" ref="B1:AH194" totalsRowShown="0" headerRowDxfId="102" dataDxfId="101" headerRowBorderDxfId="99" tableBorderDxfId="100" totalsRowBorderDxfId="98">
  <autoFilter ref="B1:AH194" xr:uid="{8DAB3C62-54CD-4BE6-A177-7B69BE0E3557}">
    <filterColumn colId="12">
      <filters>
        <filter val="Sim"/>
      </filters>
    </filterColumn>
  </autoFilter>
  <sortState xmlns:xlrd2="http://schemas.microsoft.com/office/spreadsheetml/2017/richdata2" ref="B4:AH187">
    <sortCondition ref="D1:D194"/>
  </sortState>
  <tableColumns count="33">
    <tableColumn id="1" xr3:uid="{315499F9-8C1C-45C4-9DE5-DAD1C35B222F}" name="Controle" dataDxfId="97"/>
    <tableColumn id="3" xr3:uid="{8A8DDEEE-7AFF-44D1-8FB4-802AB30BA3D8}" name="Detalhamento do requisito" dataDxfId="96"/>
    <tableColumn id="2" xr3:uid="{0AE3C6A5-CB96-4DBA-B970-59DD0A8A5B28}" name="Componente" dataDxfId="95"/>
    <tableColumn id="15" xr3:uid="{7CB5948A-8543-48A2-B9F5-B3A4569C0F6B}" name="Propriedade" dataDxfId="94">
      <calculatedColumnFormula array="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calculatedColumnFormula>
    </tableColumn>
    <tableColumn id="14" xr3:uid="{9776BD65-3989-4A95-87E0-CEAF044CF0D4}" name="STRIDE LM" dataDxfId="93"/>
    <tableColumn id="16" xr3:uid="{26C8CD3A-1C8B-494D-8072-19AC281EEBC6}" name="Riscos/Impacto" dataDxfId="92">
      <calculatedColumnFormula array="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calculatedColumnFormula>
    </tableColumn>
    <tableColumn id="13" xr3:uid="{BDB0E49C-EB80-4222-A876-A0E22BB4C781}" name="OWASP-TOP10" dataDxfId="91"/>
    <tableColumn id="11" xr3:uid="{6E7AA7B4-7197-4FDC-B9EE-A17E227A8673}" name="Estrutura - Sistema de Informação" dataDxfId="90"/>
    <tableColumn id="5" xr3:uid="{55A7BF9E-81BF-4815-8352-005545F9F892}" name="Categoria de Segurança" dataDxfId="89"/>
    <tableColumn id="6" xr3:uid="{F8586D00-AAE0-4081-8A4A-7B338A093DBF}" name="On-Prem" dataDxfId="88"/>
    <tableColumn id="7" xr3:uid="{BBF35B08-7AE1-4A9B-953C-4CD77546E4D6}" name="IaaS" dataDxfId="87"/>
    <tableColumn id="8" xr3:uid="{C3CD767A-86DA-479C-B1B8-9882F8333985}" name="PaaS" dataDxfId="86"/>
    <tableColumn id="9" xr3:uid="{DA9F8C69-5ABA-4204-8583-FFF20527F641}" name="SaaS" dataDxfId="85"/>
    <tableColumn id="32" xr3:uid="{D2BA11D1-56E0-41C8-85F7-91F46D21012D}" name="Propagação em massa Malware" dataDxfId="84"/>
    <tableColumn id="31" xr3:uid="{4F1DD75D-984B-48BE-B494-16F528C5DA08}" name="Roubo de identidade" dataDxfId="83"/>
    <tableColumn id="30" xr3:uid="{C15365AE-1B7A-4268-9A10-7DBE53A56C27}" name="Intrusão com vazamento de dados do cliente" dataDxfId="82"/>
    <tableColumn id="29" xr3:uid="{5DBF336B-9F59-4517-8D84-981031B927FE}" name="Intrusão com Roubo de Informações Comerciais Estratégicas" dataDxfId="81"/>
    <tableColumn id="28" xr3:uid="{6CE76976-65F7-4067-84AE-4546F873B9CA}" name="Invasão de aplicativos e sites" dataDxfId="80"/>
    <tableColumn id="27" xr3:uid="{4A68E42B-1AF4-44E1-8C4D-958B1FD38880}" name="Vulnerabilidades em CRMs " dataDxfId="79"/>
    <tableColumn id="26" xr3:uid="{FCC500A8-28A4-4BED-8676-ECCECA26320E}" name="Risco na Cadeia de Fornecimento" dataDxfId="78"/>
    <tableColumn id="35" xr3:uid="{97B7703E-3228-4F23-8829-484D612B12CE}" name="Indisponibilidade dos sistemas de lojas" dataDxfId="77"/>
    <tableColumn id="23" xr3:uid="{EA672302-72E1-4EB9-AFE0-34619442C88E}" name="Owner do requisito" dataDxfId="76"/>
    <tableColumn id="24" xr3:uid="{EBE8B4C4-7531-4F1D-88C3-71E9E8B3D9EE}" name="Responsável por implementar" dataDxfId="75"/>
    <tableColumn id="12" xr3:uid="{D3AA5A19-3EC1-49BA-9937-2726CBD48D81}" name="Tecnologias homologadas" dataDxfId="74"/>
    <tableColumn id="20" xr3:uid="{ED052013-FD6D-40E4-82C1-001A385BD3CD}" name="Modelos de referência" dataDxfId="73"/>
    <tableColumn id="10" xr3:uid="{78FF5818-17B2-4B8E-B74F-F91C1633F97F}" name="Como fazer/Exemplos (IT)" dataDxfId="72"/>
    <tableColumn id="4" xr3:uid="{AA87B223-D5AD-4E0A-AF65-63EC98DF763F}" name="Impacto" dataDxfId="71"/>
    <tableColumn id="17" xr3:uid="{6FBF732F-7165-4EE9-97C6-7820DC31C21F}" name="Probabilidade" dataDxfId="70"/>
    <tableColumn id="18" xr3:uid="{C07FD7D3-9083-4CB7-AFFE-A1757F10F2D1}" name="Criticidade" dataDxfId="69"/>
    <tableColumn id="19" xr3:uid="{105FB106-954F-4A4D-AC0E-483C75EA7DE5}" name="Evidência" dataDxfId="68"/>
    <tableColumn id="21" xr3:uid="{F4701191-F84E-4F63-ADE9-9A9913A5C6B6}" name="Observação" dataDxfId="67"/>
    <tableColumn id="22" xr3:uid="{E919970B-9AF2-4EB1-9827-7F67C7088124}" name="Requisito baseado em canais?" dataDxfId="66"/>
    <tableColumn id="25" xr3:uid="{031EF69D-D8D0-4E18-B9EB-CC1859055D5D}" name="CIS" dataDxfId="6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FAC24C-334C-40E9-91D3-3F60AFF7ED37}" name="Tabela7" displayName="Tabela7" ref="A1:AE315" totalsRowShown="0" headerRowDxfId="34" dataDxfId="33" headerRowBorderDxfId="31" tableBorderDxfId="32">
  <autoFilter ref="A1:AE315" xr:uid="{58FAC24C-334C-40E9-91D3-3F60AFF7ED37}"/>
  <tableColumns count="31">
    <tableColumn id="1" xr3:uid="{A25FF7B4-B4B3-49C4-932F-7BDE099EF630}" name="ID" dataDxfId="30"/>
    <tableColumn id="2" xr3:uid="{48D25867-0676-4835-9169-ECB2B21B1877}" name="Controle" dataDxfId="29"/>
    <tableColumn id="3" xr3:uid="{7BD58C14-5121-4DF2-983D-DA1756969385}" name="Detalhamento do requisito" dataDxfId="28"/>
    <tableColumn id="4" xr3:uid="{DC92D8A7-DA40-4275-A779-ABD0FE1D437B}" name="Componente" dataDxfId="27"/>
    <tableColumn id="5" xr3:uid="{8501E719-2154-4AC8-A0DF-4D2553BD15CC}" name="Propriedade" dataDxfId="26">
      <calculatedColumnFormula array="1">IF($F2="Information Disclosure",Formatação!H$5,IF($F2="Repudiation",Formatação!H$4,IF($F2="Spoofing",Formatação!H$2,IF($F2="Tampering",Formatação!H$3, IF($F2="Denial of Service",Formatação!H$6,IF($F2="Elevation of Privilege",Formatação!H$7,IF($F2="Lateral Movement",Formatação!H$8,Errado)))))))</calculatedColumnFormula>
    </tableColumn>
    <tableColumn id="6" xr3:uid="{A7D3F1DC-C4B1-40F6-9A4E-20C5908A5BC4}" name="STRIDE LM" dataDxfId="25"/>
    <tableColumn id="7" xr3:uid="{100D5048-D0CD-4AA3-94E5-E8BCCC509123}" name="Riscos/Impacto" dataDxfId="24">
      <calculatedColumnFormula array="1">IF($F2="Information Disclosure",Formatação!J$5,IF($F2="Repudiation",Formatação!J$4,IF($F2="Spoofing",Formatação!J$2,IF($F2="Tampering",Formatação!J$3, IF($F2="Denial of Service",Formatação!J$6,IF($F2="Elevation of Privilege",Formatação!J$7,IF($F2="Lateral Movement",Formatação!J$8,Errado)))))))</calculatedColumnFormula>
    </tableColumn>
    <tableColumn id="8" xr3:uid="{A4DA1D3F-B170-4224-92C1-E0236D523D3B}" name="OWASP-TOP10" dataDxfId="23"/>
    <tableColumn id="9" xr3:uid="{42572494-3D39-4190-8B79-E3B5BB5D86CF}" name="Estrutura - Sistema de Informação" dataDxfId="22"/>
    <tableColumn id="10" xr3:uid="{83C52AB5-2DE1-4EF4-BF48-695D2551EEFC}" name="Categoria de Segurança" dataDxfId="21"/>
    <tableColumn id="11" xr3:uid="{76B9A9E9-2853-48AC-9CDF-359BEC8C06F4}" name="On-Prem" dataDxfId="20"/>
    <tableColumn id="12" xr3:uid="{AA14C288-DAFA-4F32-BF41-8433602DFFD5}" name="IaaS" dataDxfId="19"/>
    <tableColumn id="13" xr3:uid="{756DD6FB-CA80-4EFF-BDD7-4B0BEEB8DD91}" name="PaaS" dataDxfId="18"/>
    <tableColumn id="14" xr3:uid="{7B54ACCE-4085-4E46-B0CD-A784D8B6CF1C}" name="SaaS" dataDxfId="17"/>
    <tableColumn id="15" xr3:uid="{5BC9372C-B9F2-4FA8-A5CC-C074025CC712}" name="Propagação em massa Malware" dataDxfId="16"/>
    <tableColumn id="16" xr3:uid="{DDE2114D-51DF-4EDA-A33C-53B3882A6585}" name="Roubo de identidade" dataDxfId="15"/>
    <tableColumn id="17" xr3:uid="{9DB577F0-D60E-428E-9471-15D118142D38}" name="Vazamento de dados de clientes e colaboradores" dataDxfId="14"/>
    <tableColumn id="18" xr3:uid="{FAC8174B-FE15-468A-92B1-3BE703F594E5}" name="Intrusão com Roubo de Informações Comerciais Estratégicas" dataDxfId="13"/>
    <tableColumn id="19" xr3:uid="{EFF149CF-35CC-42CE-B321-2A99A46B0388}" name="Invasão de aplicativos e sites" dataDxfId="12"/>
    <tableColumn id="20" xr3:uid="{853D51B5-61F4-4228-B069-5E8B3E32F665}" name="Vulnerabilidades em CRMs" dataDxfId="11"/>
    <tableColumn id="21" xr3:uid="{2F4157AF-4D3C-4DAB-A42B-9F2AAD8BC0F6}" name="Risco na Cadeia de Fornecimento" dataDxfId="10"/>
    <tableColumn id="22" xr3:uid="{750DC542-077C-424E-BB44-58C992D825CC}" name="Indisponibilidade dos sistemas de lojas" dataDxfId="9"/>
    <tableColumn id="23" xr3:uid="{677977FC-270A-435E-9BE0-8519B4CDBA84}" name="Score" dataDxfId="8">
      <calculatedColumnFormula>SUM(
  IF($O2 = "Impacto direto", 3, IF($O2 = "Impacto indireto", 2, 0)),
  IF($P2 = "Impacto direto", 3, IF($P2 = "Impacto indireto", 2, 0)),
  IF($Q2 = "Impacto direto", 3, IF($Q2 = "Impacto indireto", 2, 0)),
  IF($R2 = "Impacto direto", 3, IF($R2 = "Impacto indireto", 2, 0)),
  IF($S2 = "Impacto direto", 3, IF($S2 = "Impacto indireto", 2, 0)),
  IF($T2 = "Impacto direto", 3, IF($T2 = "Impacto indireto", 2, 0)),
  IF($U2 = "Impacto direto", 3, IF($U2 = "Impacto indireto", 2, 0)),
  IF($V2 = "Impacto direto", 3, IF($V2 = "Impacto indireto", 2, 0))
)</calculatedColumnFormula>
    </tableColumn>
    <tableColumn id="24" xr3:uid="{C3C124F0-8E2A-43EE-B396-C7A75E2B9C82}" name="Criticidade" dataDxfId="7">
      <calculatedColumnFormula>IF($W2&lt;=5, "Leve", IF($W2&lt;=8, "Baixo", IF($W2&lt;=14, "Moderado", IF($W2&lt;=18, "Alto", IF($W2&lt;=24, "Crítico", "ERRO")))))</calculatedColumnFormula>
    </tableColumn>
    <tableColumn id="25" xr3:uid="{197DC5F1-7926-4B29-BB03-0A08D9C3DCB2}" name="Tipo de controle" dataDxfId="6"/>
    <tableColumn id="36" xr3:uid="{70DD0B38-6A89-41E9-882E-6BD0F60194DE}" name="Evidência" dataDxfId="5"/>
    <tableColumn id="26" xr3:uid="{3DD5559A-AB19-40FA-88E3-350E13669A19}" name="Como Testar" dataDxfId="4"/>
    <tableColumn id="27" xr3:uid="{C4ABE45B-7615-4165-927F-D7A1B6D6D439}" name="Owner do requisito" dataDxfId="3"/>
    <tableColumn id="28" xr3:uid="{DF76FBCF-77FD-415D-ACA4-221AF64CC6DB}" name="Tecnologia?" dataDxfId="2"/>
    <tableColumn id="29" xr3:uid="{B9810CBC-FCC8-4130-8833-CEA9B531E914}" name="Quanto Custa" dataDxfId="1"/>
    <tableColumn id="30" xr3:uid="{21126A0E-DA73-4CF3-B59A-8F852D2960D8}" name="VS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1" dT="2025-02-15T01:55:32.02" personId="{608E7E14-6A14-40A6-A8A2-B6ADFA88862F}" id="{983A1FE4-7C7A-422D-ADED-EE22804E781E}">
    <text>Fase 1 -&gt; Revisão dos requisitos
Fase 2 -&gt; Consolidar - Correlações N pra N
Fase 3 -&gt; IA e Automação
Como coletar evidência? - Entra em qual fase?</text>
  </threadedComment>
  <threadedComment ref="S1" dT="2025-02-15T01:58:34.14" personId="{608E7E14-6A14-40A6-A8A2-B6ADFA88862F}" id="{D7BADA5C-B9F2-414E-8A3C-48F5302681A7}">
    <text>Acessos de Parceiros/ desenvolvedor - Regis
 Arquitetura de APIs - Rafa 
 CS - estruturantes - Regis
 CS - IaaS - Cadu
 CS - Paas - Cadu
 CS - SaaS - Rafa 
 Contrato - Cadu
 Desenvolvimento Seguro - Regis
 Gestão de acessos - Gabs
 Gestão de senhas - Cadu
 I.A - Regis
 Infraestrutura - Rafa 
 Power BI - Cadu 
 Prevenção a Fraude - Rafa 
 Proteção da aplicação - Rafa 
 Rastreabilidade - Rafa 
 RCS/ E-mail/ SMS - Regis
 RPAs - Regis
 Transferência de arquivos - Cadu</text>
  </threadedComment>
</ThreadedComments>
</file>

<file path=xl/threadedComments/threadedComment2.xml><?xml version="1.0" encoding="utf-8"?>
<ThreadedComments xmlns="http://schemas.microsoft.com/office/spreadsheetml/2018/threadedcomments" xmlns:x="http://schemas.openxmlformats.org/spreadsheetml/2006/main">
  <threadedComment ref="X1" dT="2025-04-14T18:10:43.96" personId="{690036C6-47A5-4BBE-84BE-2507D27CF277}" id="{EE8B6D5C-A665-48D8-8B4D-01499569DF61}">
    <text>Retirar para que não "sirva de muleta"</text>
  </threadedComment>
  <threadedComment ref="Y1" dT="2025-04-14T18:13:29.54" personId="{690036C6-47A5-4BBE-84BE-2507D27CF277}" id="{3490D11F-3803-4EF1-897C-D82A90B78A4E}">
    <text>Ferramentas homologadas. Se precisarem usar outra ferramenta é necessario participar do fluxo de homologaçao -&gt; definir fluxo (jira)</text>
  </threadedComment>
  <threadedComment ref="AD1" dT="2025-02-15T01:55:32.02" personId="{608E7E14-6A14-40A6-A8A2-B6ADFA88862F}" id="{F5227BA5-6E69-409F-B435-A5B9C58C6902}">
    <text>Fase 1 -&gt; Revisão dos requisitos
Fase 2 -&gt; Consolidar - Correlações N pra N
Fase 3 -&gt; IA e Automação
Como coletar evidência? - Entra em qual fase?</text>
  </threadedComment>
  <threadedComment ref="AE1" dT="2025-02-15T01:58:34.14" personId="{608E7E14-6A14-40A6-A8A2-B6ADFA88862F}" id="{D8052E84-E703-4A31-9A6F-8E651D37F833}">
    <text>Acessos de Parceiros/ desenvolvedor - Regis
 Arquitetura de APIs - Rafa 
 CS - estruturantes - Regis
 CS - IaaS - Cadu
 CS - Paas - Cadu
 CS - SaaS - Rafa 
 Contrato - Cadu
 Desenvolvimento Seguro - Regis
 Gestão de acessos - Gabs
 Gestão de senhas - Cadu
 I.A - Regis
 Infraestrutura - Rafa 
 Power BI - Cadu 
 Prevenção a Fraude - Rafa 
 Proteção da aplicação - Rafa 
 Rastreabilidade - Rafa 
 RCS/ E-mail/ SMS - Regis
 RPAs - Regis
 Transferência de arquivos - Cadu</text>
  </threadedComment>
  <threadedComment ref="C29" dT="2025-03-14T17:48:12.07" personId="{608E7E14-6A14-40A6-A8A2-B6ADFA88862F}" id="{30148529-0FF0-402C-ABF7-BA97B07E2967}">
    <text>@Gabriel De Freitas Ferreira 
Estou criando os detalhes do requisitos, para posterior validação.</text>
    <mentions>
      <mention mentionpersonId="{FB1EC01A-2AA0-4ED6-92DD-E9584D0C9247}" mentionId="{4DBC09DF-86F5-4321-8E89-E0E912AD29EB}" startIndex="0" length="28"/>
    </mentions>
  </threadedComment>
  <threadedComment ref="AA37" dT="2025-03-12T20:40:42.57" personId="{690036C6-47A5-4BBE-84BE-2507D27CF277}" id="{37786E86-55F1-4976-928D-0B4C42262626}">
    <text>@Reginaldo De Araujo Barreto  precisamos colocar o link do processo</text>
    <mentions>
      <mention mentionpersonId="{723A7BD6-17DA-464A-8794-3872B407C99E}" mentionId="{B20A85A5-F6E6-46BF-BE89-6AF22A7CB2D9}" startIndex="0" length="28"/>
    </mentions>
  </threadedComment>
  <threadedComment ref="AA37" dT="2025-03-14T10:48:04.20" personId="{608E7E14-6A14-40A6-A8A2-B6ADFA88862F}" id="{F5E4F8C3-BEF5-485C-A1B4-61F4490B30B5}" parentId="{37786E86-55F1-4976-928D-0B4C42262626}">
    <text xml:space="preserve">Feito.
Shared Link </text>
    <extLst>
      <x:ext xmlns:xltc2="http://schemas.microsoft.com/office/spreadsheetml/2020/threadedcomments2" uri="{F7C98A9C-CBB3-438F-8F68-D28B6AF4A901}">
        <xltc2:checksum>2413264501</xltc2:checksum>
        <xltc2:hyperlink startIndex="7" length="11" url="https://privacyportal-br.onetrust.com/policies/c3913743-ca2e-4ad4-91af-ef4a97e8f35b?context=eyJkc1BvcnRhbElkIjoiZmVhZmYwMGYtNGViNS00ODJmLWJjMDEtNmU1MmU5NzNkYjE2In0%3D"/>
      </x:ext>
    </extLst>
  </threadedComment>
  <threadedComment ref="B43" dT="2025-03-26T13:22:43.32" personId="{690036C6-47A5-4BBE-84BE-2507D27CF277}" id="{334B201C-E173-43F8-B33D-EA57462823DD}">
    <text>Faz sentido manter?</text>
  </threadedComment>
  <threadedComment ref="B147" dT="2025-03-14T12:48:03.93" personId="{608E7E14-6A14-40A6-A8A2-B6ADFA88862F}" id="{698C9B45-629B-4EC6-BACC-713328B600A6}">
    <text>@Gabriel De Freitas Ferreira  Esse item para mim deveria ter seu texto modificado para  "O APIGW deverá aceitar somente requisições externas das soluções WAF homologadas pela Companhia"</text>
    <mentions>
      <mention mentionpersonId="{FB1EC01A-2AA0-4ED6-92DD-E9584D0C9247}" mentionId="{349BB5E0-A0A9-41F7-B334-D4980252BD1C}" startIndex="0" length="28"/>
    </mentions>
  </threadedComment>
  <threadedComment ref="B167" dT="2025-03-26T13:31:44.45" personId="{690036C6-47A5-4BBE-84BE-2507D27CF277}" id="{F02C85E6-9C19-422B-B57F-96FDEA0118D9}">
    <text>Faz sentido criar um componente para containers?</text>
  </threadedComment>
</ThreadedComments>
</file>

<file path=xl/threadedComments/threadedComment3.xml><?xml version="1.0" encoding="utf-8"?>
<ThreadedComments xmlns="http://schemas.microsoft.com/office/spreadsheetml/2018/threadedcomments" xmlns:x="http://schemas.openxmlformats.org/spreadsheetml/2006/main">
  <threadedComment ref="A3" dT="2025-03-25T20:02:43.18" personId="{690036C6-47A5-4BBE-84BE-2507D27CF277}" id="{433D2F7E-C0AC-40C0-B977-0A96141A336D}">
    <text>@Reginaldo De Araujo Barreto  Sabe me dizer o motivo desse controle?</text>
    <mentions>
      <mention mentionpersonId="{723A7BD6-17DA-464A-8794-3872B407C99E}" mentionId="{5CE70C34-2B55-4D7E-8B17-0FB899B65336}" startIndex="0" length="28"/>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B219" dT="2025-05-27T14:15:28.19" personId="{99591562-502D-4A33-82A0-2360995FBC4F}" id="{2EC3966B-7854-4A8E-90C3-586E7E554D77}">
    <text>Lembrete: O link não está disponível.</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7" Type="http://schemas.microsoft.com/office/2019/04/relationships/namedSheetView" Target="../namedSheetViews/namedSheetView2.xml"/><Relationship Id="rId2" Type="http://schemas.openxmlformats.org/officeDocument/2006/relationships/hyperlink" Target="https://wikicorp.telefonica.com.br/pages/viewpage.action?pageId=458678555" TargetMode="External"/><Relationship Id="rId1" Type="http://schemas.openxmlformats.org/officeDocument/2006/relationships/hyperlink" Target="https://wikicorp.telefonica.com.br/pages/viewpage.action?pageId=458678564"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7" Type="http://schemas.microsoft.com/office/2019/04/relationships/namedSheetView" Target="../namedSheetViews/namedSheetView3.xml"/><Relationship Id="rId2" Type="http://schemas.openxmlformats.org/officeDocument/2006/relationships/printerSettings" Target="../printerSettings/printerSettings2.bin"/><Relationship Id="rId1" Type="http://schemas.openxmlformats.org/officeDocument/2006/relationships/hyperlink" Target="https://www.fastly.com/blog/new-2025-owasp-top-10-list-what-changed-what-you-need-to-know" TargetMode="External"/><Relationship Id="rId6" Type="http://schemas.microsoft.com/office/2017/10/relationships/threadedComment" Target="../threadedComments/threadedComment4.xml"/><Relationship Id="rId5" Type="http://schemas.openxmlformats.org/officeDocument/2006/relationships/comments" Target="../comments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736E9-23F4-431F-A831-0BAE5B53351C}">
  <dimension ref="A1:J12"/>
  <sheetViews>
    <sheetView topLeftCell="B1" zoomScale="90" zoomScaleNormal="90" workbookViewId="0">
      <selection activeCell="B1" sqref="B1"/>
    </sheetView>
  </sheetViews>
  <sheetFormatPr defaultColWidth="8.85546875" defaultRowHeight="14.45"/>
  <cols>
    <col min="1" max="1" width="172.42578125" bestFit="1" customWidth="1"/>
    <col min="2" max="2" width="23.85546875" bestFit="1" customWidth="1"/>
    <col min="3" max="3" width="20.28515625" bestFit="1" customWidth="1"/>
    <col min="4" max="4" width="17" bestFit="1" customWidth="1"/>
    <col min="5" max="5" width="21.42578125" bestFit="1" customWidth="1"/>
    <col min="10" max="10" width="32.7109375" bestFit="1" customWidth="1"/>
  </cols>
  <sheetData>
    <row r="1" spans="1:10">
      <c r="A1" s="26" t="s">
        <v>0</v>
      </c>
      <c r="B1" s="28" t="s">
        <v>1</v>
      </c>
      <c r="C1" s="28" t="s">
        <v>2</v>
      </c>
      <c r="D1" s="28" t="s">
        <v>3</v>
      </c>
      <c r="E1" s="28" t="s">
        <v>4</v>
      </c>
      <c r="F1" s="28" t="s">
        <v>5</v>
      </c>
      <c r="G1" s="28" t="s">
        <v>6</v>
      </c>
      <c r="H1" s="28" t="s">
        <v>7</v>
      </c>
      <c r="I1" s="28" t="s">
        <v>8</v>
      </c>
      <c r="J1" s="33" t="s">
        <v>9</v>
      </c>
    </row>
    <row r="2" spans="1:10">
      <c r="A2" s="32" t="s">
        <v>10</v>
      </c>
      <c r="B2" s="30" t="s">
        <v>11</v>
      </c>
      <c r="C2" s="30" t="s">
        <v>12</v>
      </c>
      <c r="D2" s="30" t="s">
        <v>13</v>
      </c>
      <c r="E2" s="31" t="s">
        <v>14</v>
      </c>
      <c r="F2" s="30" t="s">
        <v>15</v>
      </c>
      <c r="G2" s="30" t="s">
        <v>16</v>
      </c>
      <c r="H2" s="30" t="s">
        <v>16</v>
      </c>
      <c r="I2" s="30" t="s">
        <v>15</v>
      </c>
      <c r="J2" s="30" t="s">
        <v>17</v>
      </c>
    </row>
    <row r="3" spans="1:10">
      <c r="A3" s="32" t="s">
        <v>18</v>
      </c>
      <c r="B3" s="30" t="s">
        <v>11</v>
      </c>
      <c r="C3" s="30" t="s">
        <v>19</v>
      </c>
      <c r="D3" s="30" t="s">
        <v>20</v>
      </c>
      <c r="E3" s="31" t="s">
        <v>14</v>
      </c>
      <c r="F3" s="30" t="s">
        <v>15</v>
      </c>
      <c r="G3" s="30" t="s">
        <v>16</v>
      </c>
      <c r="H3" s="30" t="s">
        <v>16</v>
      </c>
      <c r="I3" s="30" t="s">
        <v>15</v>
      </c>
      <c r="J3" s="30"/>
    </row>
    <row r="4" spans="1:10">
      <c r="A4" s="32" t="s">
        <v>21</v>
      </c>
      <c r="B4" s="30" t="s">
        <v>11</v>
      </c>
      <c r="C4" s="30" t="s">
        <v>12</v>
      </c>
      <c r="D4" s="30" t="s">
        <v>22</v>
      </c>
      <c r="E4" s="31" t="s">
        <v>23</v>
      </c>
      <c r="F4" s="30" t="s">
        <v>15</v>
      </c>
      <c r="G4" s="30" t="s">
        <v>16</v>
      </c>
      <c r="H4" s="30" t="s">
        <v>16</v>
      </c>
      <c r="I4" s="30" t="s">
        <v>15</v>
      </c>
      <c r="J4" s="30"/>
    </row>
    <row r="5" spans="1:10">
      <c r="A5" s="29" t="s">
        <v>24</v>
      </c>
      <c r="B5" s="30" t="s">
        <v>11</v>
      </c>
      <c r="C5" s="30" t="s">
        <v>12</v>
      </c>
      <c r="D5" s="30" t="s">
        <v>25</v>
      </c>
      <c r="E5" s="31" t="s">
        <v>26</v>
      </c>
      <c r="F5" s="30" t="s">
        <v>15</v>
      </c>
      <c r="G5" s="30" t="s">
        <v>16</v>
      </c>
      <c r="H5" s="30" t="s">
        <v>16</v>
      </c>
      <c r="I5" s="30" t="s">
        <v>15</v>
      </c>
      <c r="J5" s="1"/>
    </row>
    <row r="6" spans="1:10">
      <c r="A6" s="29" t="s">
        <v>27</v>
      </c>
      <c r="B6" s="30" t="s">
        <v>11</v>
      </c>
      <c r="C6" s="30" t="s">
        <v>12</v>
      </c>
      <c r="D6" s="30" t="s">
        <v>25</v>
      </c>
      <c r="E6" s="31" t="s">
        <v>26</v>
      </c>
      <c r="F6" s="30" t="s">
        <v>15</v>
      </c>
      <c r="G6" s="30" t="s">
        <v>16</v>
      </c>
      <c r="H6" s="30" t="s">
        <v>16</v>
      </c>
      <c r="I6" s="30" t="s">
        <v>15</v>
      </c>
      <c r="J6" s="1"/>
    </row>
    <row r="7" spans="1:10">
      <c r="A7" s="29" t="s">
        <v>28</v>
      </c>
      <c r="B7" s="30" t="s">
        <v>11</v>
      </c>
      <c r="C7" s="30" t="s">
        <v>12</v>
      </c>
      <c r="D7" s="30" t="s">
        <v>25</v>
      </c>
      <c r="E7" s="31" t="s">
        <v>29</v>
      </c>
      <c r="F7" s="30" t="s">
        <v>15</v>
      </c>
      <c r="G7" s="30" t="s">
        <v>16</v>
      </c>
      <c r="H7" s="30" t="s">
        <v>16</v>
      </c>
      <c r="I7" s="30" t="s">
        <v>15</v>
      </c>
      <c r="J7" s="1"/>
    </row>
    <row r="8" spans="1:10">
      <c r="A8" s="29" t="s">
        <v>30</v>
      </c>
      <c r="B8" s="30" t="s">
        <v>11</v>
      </c>
      <c r="C8" s="30" t="s">
        <v>31</v>
      </c>
      <c r="D8" s="30" t="s">
        <v>32</v>
      </c>
      <c r="E8" s="31" t="s">
        <v>33</v>
      </c>
      <c r="F8" s="30" t="s">
        <v>15</v>
      </c>
      <c r="G8" s="30" t="s">
        <v>16</v>
      </c>
      <c r="H8" s="30" t="s">
        <v>16</v>
      </c>
      <c r="I8" s="30" t="s">
        <v>15</v>
      </c>
      <c r="J8" s="1"/>
    </row>
    <row r="9" spans="1:10">
      <c r="A9" s="29" t="s">
        <v>34</v>
      </c>
      <c r="B9" s="30" t="s">
        <v>11</v>
      </c>
      <c r="C9" s="30" t="s">
        <v>12</v>
      </c>
      <c r="D9" s="30" t="s">
        <v>35</v>
      </c>
      <c r="E9" s="31" t="s">
        <v>29</v>
      </c>
      <c r="F9" s="30" t="s">
        <v>15</v>
      </c>
      <c r="G9" s="30" t="s">
        <v>16</v>
      </c>
      <c r="H9" s="30" t="s">
        <v>16</v>
      </c>
      <c r="I9" s="30" t="s">
        <v>15</v>
      </c>
      <c r="J9" s="1"/>
    </row>
    <row r="10" spans="1:10">
      <c r="A10" s="29" t="s">
        <v>36</v>
      </c>
      <c r="B10" s="30" t="s">
        <v>11</v>
      </c>
      <c r="C10" s="30" t="s">
        <v>12</v>
      </c>
      <c r="D10" s="30" t="s">
        <v>25</v>
      </c>
      <c r="E10" s="31"/>
      <c r="F10" s="30" t="s">
        <v>15</v>
      </c>
      <c r="G10" s="30" t="s">
        <v>16</v>
      </c>
      <c r="H10" s="30" t="s">
        <v>16</v>
      </c>
      <c r="I10" s="30" t="s">
        <v>15</v>
      </c>
      <c r="J10" s="1"/>
    </row>
    <row r="11" spans="1:10">
      <c r="A11" s="29" t="s">
        <v>37</v>
      </c>
      <c r="B11" s="30" t="s">
        <v>11</v>
      </c>
      <c r="C11" s="30" t="s">
        <v>31</v>
      </c>
      <c r="D11" s="30" t="s">
        <v>25</v>
      </c>
      <c r="E11" s="31"/>
      <c r="F11" s="30" t="s">
        <v>15</v>
      </c>
      <c r="G11" s="30" t="s">
        <v>16</v>
      </c>
      <c r="H11" s="30" t="s">
        <v>16</v>
      </c>
      <c r="I11" s="30" t="s">
        <v>15</v>
      </c>
      <c r="J11" s="1"/>
    </row>
    <row r="12" spans="1:10">
      <c r="A12" s="29" t="s">
        <v>38</v>
      </c>
      <c r="B12" s="30" t="s">
        <v>11</v>
      </c>
      <c r="C12" s="30" t="s">
        <v>31</v>
      </c>
      <c r="D12" s="30" t="s">
        <v>35</v>
      </c>
      <c r="E12" s="31"/>
      <c r="F12" s="30" t="s">
        <v>15</v>
      </c>
      <c r="G12" s="30" t="s">
        <v>16</v>
      </c>
      <c r="H12" s="30" t="s">
        <v>16</v>
      </c>
      <c r="I12" s="30" t="s">
        <v>15</v>
      </c>
      <c r="J12" s="1"/>
    </row>
  </sheetData>
  <conditionalFormatting sqref="F2:I12">
    <cfRule type="containsText" dxfId="139" priority="1" operator="containsText" text="Não">
      <formula>NOT(ISERROR(SEARCH("Não",F2)))</formula>
    </cfRule>
  </conditionalFormatting>
  <pageMargins left="0.511811024" right="0.511811024" top="0.78740157499999996" bottom="0.78740157499999996" header="0.31496062000000002" footer="0.31496062000000002"/>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60639A70-8385-4FAC-95B4-8BDE46DB6476}">
          <x14:formula1>
            <xm:f>Formatação!$B$2:$B$7</xm:f>
          </x14:formula1>
          <xm:sqref>C2:C12</xm:sqref>
        </x14:dataValidation>
        <x14:dataValidation type="list" allowBlank="1" showInputMessage="1" showErrorMessage="1" xr:uid="{D32F979C-94E6-4B01-8ECB-449EED9CEDA4}">
          <x14:formula1>
            <xm:f>Formatação!$E$2:$E$4</xm:f>
          </x14:formula1>
          <xm:sqref>F2:I12</xm:sqref>
        </x14:dataValidation>
        <x14:dataValidation type="list" allowBlank="1" showInputMessage="1" showErrorMessage="1" xr:uid="{9130EA81-3406-41E5-932B-0415135DD31B}">
          <x14:formula1>
            <xm:f>Formatação!$C$2:$C$9</xm:f>
          </x14:formula1>
          <xm:sqref>D2:D12</xm:sqref>
        </x14:dataValidation>
        <x14:dataValidation type="list" allowBlank="1" showInputMessage="1" showErrorMessage="1" xr:uid="{2DCBA94E-3130-4888-941E-6137446C1100}">
          <x14:formula1>
            <xm:f>Formatação!$D$2:$D$29</xm:f>
          </x14:formula1>
          <xm:sqref>E2:E12</xm:sqref>
        </x14:dataValidation>
        <x14:dataValidation type="list" allowBlank="1" showInputMessage="1" showErrorMessage="1" xr:uid="{A7CBF467-E3A8-4A60-BF2D-BAF84A1725DF}">
          <x14:formula1>
            <xm:f>Formatação!$A$2:$A$41</xm:f>
          </x14:formula1>
          <xm:sqref>B2:B12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62C0-442A-46AC-B30D-A4239C434A57}">
  <dimension ref="A1:O16"/>
  <sheetViews>
    <sheetView topLeftCell="L1" workbookViewId="0">
      <pane ySplit="1" topLeftCell="A2" activePane="bottomLeft" state="frozen"/>
      <selection pane="bottomLeft" activeCell="T8" sqref="T8"/>
    </sheetView>
  </sheetViews>
  <sheetFormatPr defaultColWidth="8.85546875" defaultRowHeight="14.45"/>
  <cols>
    <col min="1" max="1" width="23" bestFit="1" customWidth="1"/>
    <col min="2" max="2" width="23" customWidth="1"/>
    <col min="3" max="3" width="21.42578125" bestFit="1" customWidth="1"/>
    <col min="4" max="4" width="12" bestFit="1" customWidth="1"/>
    <col min="5" max="5" width="91.140625" bestFit="1" customWidth="1"/>
    <col min="6" max="6" width="47.42578125" customWidth="1"/>
    <col min="7" max="7" width="139.85546875" bestFit="1" customWidth="1"/>
    <col min="8" max="8" width="24.7109375" customWidth="1"/>
    <col min="9" max="9" width="26.28515625" customWidth="1"/>
    <col min="10" max="10" width="22.28515625" customWidth="1"/>
    <col min="11" max="11" width="22.85546875" customWidth="1"/>
    <col min="12" max="13" width="22.7109375" customWidth="1"/>
    <col min="14" max="14" width="40.140625" bestFit="1" customWidth="1"/>
    <col min="15" max="15" width="37.42578125" bestFit="1" customWidth="1"/>
  </cols>
  <sheetData>
    <row r="1" spans="1:15">
      <c r="A1" s="1" t="s">
        <v>39</v>
      </c>
      <c r="B1" s="1" t="s">
        <v>40</v>
      </c>
      <c r="C1" s="1" t="s">
        <v>41</v>
      </c>
      <c r="D1" s="1" t="s">
        <v>1</v>
      </c>
      <c r="E1" s="1" t="s">
        <v>42</v>
      </c>
      <c r="F1" s="1" t="s">
        <v>43</v>
      </c>
      <c r="G1" s="1" t="s">
        <v>44</v>
      </c>
      <c r="H1" s="1" t="s">
        <v>45</v>
      </c>
      <c r="I1" s="1" t="s">
        <v>46</v>
      </c>
      <c r="J1" s="1" t="s">
        <v>47</v>
      </c>
      <c r="K1" s="1" t="s">
        <v>48</v>
      </c>
      <c r="L1" s="1" t="s">
        <v>49</v>
      </c>
      <c r="M1" s="1" t="s">
        <v>50</v>
      </c>
      <c r="N1" s="1" t="s">
        <v>51</v>
      </c>
      <c r="O1" s="1" t="s">
        <v>52</v>
      </c>
    </row>
    <row r="2" spans="1:15">
      <c r="A2" s="1" t="s">
        <v>12</v>
      </c>
      <c r="B2" s="1" t="s">
        <v>53</v>
      </c>
      <c r="C2" s="1" t="s">
        <v>54</v>
      </c>
      <c r="D2" s="1" t="s">
        <v>55</v>
      </c>
      <c r="E2" s="1" t="s">
        <v>56</v>
      </c>
      <c r="F2" s="1" t="s">
        <v>57</v>
      </c>
      <c r="G2" s="1" t="s">
        <v>58</v>
      </c>
      <c r="H2" s="1" t="s">
        <v>59</v>
      </c>
      <c r="I2" s="1" t="s">
        <v>16</v>
      </c>
      <c r="J2" s="1" t="s">
        <v>16</v>
      </c>
      <c r="K2" s="1" t="s">
        <v>60</v>
      </c>
      <c r="L2" s="1" t="s">
        <v>60</v>
      </c>
      <c r="M2" s="1" t="s">
        <v>60</v>
      </c>
      <c r="N2" s="1" t="s">
        <v>61</v>
      </c>
      <c r="O2" s="1"/>
    </row>
    <row r="3" spans="1:15">
      <c r="A3" s="1" t="s">
        <v>12</v>
      </c>
      <c r="B3" s="1" t="s">
        <v>31</v>
      </c>
      <c r="C3" s="1" t="s">
        <v>54</v>
      </c>
      <c r="D3" s="1" t="s">
        <v>55</v>
      </c>
      <c r="E3" s="1" t="s">
        <v>56</v>
      </c>
      <c r="F3" s="1" t="s">
        <v>62</v>
      </c>
      <c r="G3" s="1" t="s">
        <v>63</v>
      </c>
      <c r="H3" s="1" t="s">
        <v>59</v>
      </c>
      <c r="I3" s="1" t="s">
        <v>16</v>
      </c>
      <c r="J3" s="1" t="s">
        <v>16</v>
      </c>
      <c r="K3" s="1" t="s">
        <v>60</v>
      </c>
      <c r="L3" s="1" t="s">
        <v>60</v>
      </c>
      <c r="M3" s="1" t="s">
        <v>60</v>
      </c>
      <c r="N3" s="1" t="s">
        <v>61</v>
      </c>
      <c r="O3" s="1"/>
    </row>
    <row r="4" spans="1:15">
      <c r="A4" s="1" t="s">
        <v>12</v>
      </c>
      <c r="B4" s="1" t="s">
        <v>64</v>
      </c>
      <c r="C4" s="1" t="s">
        <v>54</v>
      </c>
      <c r="D4" s="1" t="s">
        <v>55</v>
      </c>
      <c r="E4" s="1" t="s">
        <v>56</v>
      </c>
      <c r="F4" s="1" t="s">
        <v>65</v>
      </c>
      <c r="G4" s="1" t="s">
        <v>66</v>
      </c>
      <c r="H4" s="1" t="s">
        <v>59</v>
      </c>
      <c r="I4" s="1" t="s">
        <v>16</v>
      </c>
      <c r="J4" s="1" t="s">
        <v>16</v>
      </c>
      <c r="K4" s="1" t="s">
        <v>60</v>
      </c>
      <c r="L4" s="1" t="s">
        <v>60</v>
      </c>
      <c r="M4" s="1" t="s">
        <v>60</v>
      </c>
      <c r="N4" s="1" t="s">
        <v>61</v>
      </c>
      <c r="O4" s="1"/>
    </row>
    <row r="5" spans="1:15">
      <c r="A5" s="1" t="s">
        <v>12</v>
      </c>
      <c r="B5" s="1" t="s">
        <v>53</v>
      </c>
      <c r="C5" s="1" t="s">
        <v>67</v>
      </c>
      <c r="D5" s="1" t="s">
        <v>55</v>
      </c>
      <c r="E5" s="9" t="s">
        <v>68</v>
      </c>
      <c r="F5" s="1" t="s">
        <v>69</v>
      </c>
      <c r="G5" s="1"/>
      <c r="H5" s="1" t="s">
        <v>59</v>
      </c>
      <c r="I5" s="1" t="s">
        <v>16</v>
      </c>
      <c r="J5" s="1" t="s">
        <v>16</v>
      </c>
      <c r="K5" s="1" t="s">
        <v>60</v>
      </c>
      <c r="L5" s="1" t="s">
        <v>60</v>
      </c>
      <c r="M5" s="1" t="s">
        <v>60</v>
      </c>
      <c r="N5" s="1" t="s">
        <v>70</v>
      </c>
      <c r="O5" s="1"/>
    </row>
    <row r="6" spans="1:15">
      <c r="A6" s="1" t="s">
        <v>12</v>
      </c>
      <c r="B6" s="1" t="s">
        <v>31</v>
      </c>
      <c r="C6" s="1" t="s">
        <v>67</v>
      </c>
      <c r="D6" s="1" t="s">
        <v>55</v>
      </c>
      <c r="E6" s="9" t="s">
        <v>68</v>
      </c>
      <c r="F6" s="1" t="s">
        <v>71</v>
      </c>
      <c r="G6" s="1" t="s">
        <v>72</v>
      </c>
      <c r="H6" s="1" t="s">
        <v>59</v>
      </c>
      <c r="I6" s="1" t="s">
        <v>16</v>
      </c>
      <c r="J6" s="1" t="s">
        <v>16</v>
      </c>
      <c r="K6" s="1" t="s">
        <v>60</v>
      </c>
      <c r="L6" s="1" t="s">
        <v>60</v>
      </c>
      <c r="M6" s="1" t="s">
        <v>60</v>
      </c>
      <c r="N6" s="1" t="s">
        <v>70</v>
      </c>
      <c r="O6" s="1"/>
    </row>
    <row r="7" spans="1:15">
      <c r="A7" s="10" t="s">
        <v>12</v>
      </c>
      <c r="B7" s="10"/>
      <c r="C7" s="10" t="s">
        <v>67</v>
      </c>
      <c r="D7" s="10" t="s">
        <v>55</v>
      </c>
      <c r="E7" s="11" t="s">
        <v>68</v>
      </c>
      <c r="F7" s="10" t="s">
        <v>73</v>
      </c>
      <c r="G7" s="10" t="s">
        <v>74</v>
      </c>
      <c r="H7" s="10" t="s">
        <v>59</v>
      </c>
      <c r="I7" s="10" t="s">
        <v>16</v>
      </c>
      <c r="J7" s="10" t="s">
        <v>16</v>
      </c>
      <c r="K7" s="10" t="s">
        <v>60</v>
      </c>
      <c r="L7" s="10" t="s">
        <v>60</v>
      </c>
      <c r="M7" s="10" t="s">
        <v>60</v>
      </c>
      <c r="N7" s="10" t="s">
        <v>75</v>
      </c>
      <c r="O7" s="10"/>
    </row>
    <row r="8" spans="1:15">
      <c r="A8" s="1" t="s">
        <v>12</v>
      </c>
      <c r="B8" s="1" t="s">
        <v>31</v>
      </c>
      <c r="C8" s="1" t="s">
        <v>67</v>
      </c>
      <c r="D8" s="1" t="s">
        <v>55</v>
      </c>
      <c r="E8" s="9" t="s">
        <v>68</v>
      </c>
      <c r="F8" s="1" t="s">
        <v>12</v>
      </c>
      <c r="G8" s="1"/>
      <c r="H8" s="1" t="s">
        <v>59</v>
      </c>
      <c r="I8" s="1" t="s">
        <v>16</v>
      </c>
      <c r="J8" s="1" t="s">
        <v>16</v>
      </c>
      <c r="K8" s="1" t="s">
        <v>60</v>
      </c>
      <c r="L8" s="1" t="s">
        <v>60</v>
      </c>
      <c r="M8" s="1" t="s">
        <v>60</v>
      </c>
      <c r="N8" s="1" t="s">
        <v>75</v>
      </c>
      <c r="O8" s="1"/>
    </row>
    <row r="9" spans="1:15">
      <c r="A9" s="1" t="s">
        <v>12</v>
      </c>
      <c r="B9" s="1"/>
      <c r="C9" s="1" t="s">
        <v>67</v>
      </c>
      <c r="D9" s="1" t="s">
        <v>55</v>
      </c>
      <c r="E9" s="9" t="s">
        <v>68</v>
      </c>
      <c r="F9" s="1" t="s">
        <v>76</v>
      </c>
      <c r="G9" s="1"/>
      <c r="H9" s="1" t="s">
        <v>59</v>
      </c>
      <c r="I9" s="1" t="s">
        <v>16</v>
      </c>
      <c r="J9" s="1" t="s">
        <v>16</v>
      </c>
      <c r="K9" s="1" t="s">
        <v>60</v>
      </c>
      <c r="L9" s="1" t="s">
        <v>60</v>
      </c>
      <c r="M9" s="1" t="s">
        <v>60</v>
      </c>
      <c r="N9" s="1" t="s">
        <v>75</v>
      </c>
      <c r="O9" s="1"/>
    </row>
    <row r="10" spans="1:15">
      <c r="A10" s="1" t="s">
        <v>12</v>
      </c>
      <c r="B10" s="1" t="s">
        <v>31</v>
      </c>
      <c r="C10" s="1" t="s">
        <v>67</v>
      </c>
      <c r="D10" s="1" t="s">
        <v>55</v>
      </c>
      <c r="E10" s="9" t="s">
        <v>68</v>
      </c>
      <c r="F10" s="1" t="s">
        <v>77</v>
      </c>
      <c r="G10" s="1" t="s">
        <v>78</v>
      </c>
      <c r="H10" s="1" t="s">
        <v>79</v>
      </c>
      <c r="I10" s="1" t="s">
        <v>16</v>
      </c>
      <c r="J10" s="1" t="s">
        <v>16</v>
      </c>
      <c r="K10" s="1" t="s">
        <v>60</v>
      </c>
      <c r="L10" s="1" t="s">
        <v>60</v>
      </c>
      <c r="M10" s="1" t="s">
        <v>60</v>
      </c>
      <c r="N10" s="1" t="s">
        <v>80</v>
      </c>
      <c r="O10" s="1"/>
    </row>
    <row r="11" spans="1:15">
      <c r="A11" s="1" t="s">
        <v>12</v>
      </c>
      <c r="B11" s="1"/>
      <c r="C11" s="1" t="s">
        <v>67</v>
      </c>
      <c r="D11" s="1" t="s">
        <v>55</v>
      </c>
      <c r="E11" s="9" t="s">
        <v>68</v>
      </c>
      <c r="F11" s="1" t="s">
        <v>12</v>
      </c>
      <c r="G11" s="1"/>
      <c r="H11" s="1" t="s">
        <v>79</v>
      </c>
      <c r="I11" s="1" t="s">
        <v>16</v>
      </c>
      <c r="J11" s="1" t="s">
        <v>16</v>
      </c>
      <c r="K11" s="1" t="s">
        <v>60</v>
      </c>
      <c r="L11" s="1" t="s">
        <v>60</v>
      </c>
      <c r="M11" s="1" t="s">
        <v>60</v>
      </c>
      <c r="N11" s="1" t="s">
        <v>80</v>
      </c>
      <c r="O11" s="1"/>
    </row>
    <row r="12" spans="1:15">
      <c r="A12" s="1" t="s">
        <v>12</v>
      </c>
      <c r="B12" s="1"/>
      <c r="C12" s="1" t="s">
        <v>22</v>
      </c>
      <c r="D12" s="1" t="s">
        <v>55</v>
      </c>
      <c r="E12" s="1" t="s">
        <v>81</v>
      </c>
      <c r="F12" s="1" t="s">
        <v>82</v>
      </c>
      <c r="G12" s="1" t="s">
        <v>83</v>
      </c>
      <c r="H12" s="1" t="s">
        <v>84</v>
      </c>
      <c r="I12" s="1" t="s">
        <v>16</v>
      </c>
      <c r="J12" s="1" t="s">
        <v>16</v>
      </c>
      <c r="K12" s="1" t="s">
        <v>60</v>
      </c>
      <c r="L12" s="1" t="s">
        <v>60</v>
      </c>
      <c r="M12" s="1" t="s">
        <v>60</v>
      </c>
      <c r="N12" s="1" t="s">
        <v>85</v>
      </c>
      <c r="O12" s="1"/>
    </row>
    <row r="13" spans="1:15">
      <c r="A13" s="1" t="s">
        <v>12</v>
      </c>
      <c r="B13" s="1"/>
      <c r="C13" s="1" t="s">
        <v>86</v>
      </c>
      <c r="D13" s="1" t="s">
        <v>55</v>
      </c>
      <c r="E13" s="1" t="s">
        <v>87</v>
      </c>
      <c r="F13" s="1" t="s">
        <v>69</v>
      </c>
      <c r="G13" s="1" t="s">
        <v>88</v>
      </c>
      <c r="H13" s="1" t="s">
        <v>59</v>
      </c>
      <c r="I13" s="1" t="s">
        <v>16</v>
      </c>
      <c r="J13" s="1" t="s">
        <v>16</v>
      </c>
      <c r="K13" s="1" t="s">
        <v>60</v>
      </c>
      <c r="L13" s="1" t="s">
        <v>60</v>
      </c>
      <c r="M13" s="1" t="s">
        <v>60</v>
      </c>
      <c r="N13" s="1" t="s">
        <v>89</v>
      </c>
      <c r="O13" s="1"/>
    </row>
    <row r="14" spans="1:15">
      <c r="A14" s="1"/>
      <c r="B14" s="1"/>
      <c r="C14" s="1"/>
      <c r="D14" s="1"/>
      <c r="E14" s="1"/>
      <c r="F14" s="1"/>
      <c r="G14" s="1" t="s">
        <v>90</v>
      </c>
      <c r="H14" s="1" t="s">
        <v>59</v>
      </c>
      <c r="I14" s="1" t="s">
        <v>16</v>
      </c>
      <c r="J14" s="1" t="s">
        <v>16</v>
      </c>
      <c r="K14" s="1" t="s">
        <v>60</v>
      </c>
      <c r="L14" s="1" t="s">
        <v>60</v>
      </c>
      <c r="M14" s="1" t="s">
        <v>60</v>
      </c>
      <c r="N14" s="1" t="s">
        <v>91</v>
      </c>
      <c r="O14" s="1"/>
    </row>
    <row r="15" spans="1:15">
      <c r="A15" s="1"/>
      <c r="B15" s="1"/>
      <c r="C15" s="1"/>
      <c r="D15" s="1"/>
      <c r="E15" s="1"/>
      <c r="F15" s="1"/>
      <c r="G15" s="1" t="s">
        <v>92</v>
      </c>
      <c r="H15" s="1" t="s">
        <v>93</v>
      </c>
      <c r="I15" s="1" t="s">
        <v>16</v>
      </c>
      <c r="J15" s="1" t="s">
        <v>16</v>
      </c>
      <c r="K15" s="1" t="s">
        <v>60</v>
      </c>
      <c r="L15" s="1" t="s">
        <v>60</v>
      </c>
      <c r="M15" s="1" t="s">
        <v>60</v>
      </c>
      <c r="N15" s="1" t="s">
        <v>94</v>
      </c>
      <c r="O15" s="1"/>
    </row>
    <row r="16" spans="1:15">
      <c r="A16" s="1"/>
      <c r="B16" s="1"/>
      <c r="C16" s="1"/>
      <c r="D16" s="1"/>
      <c r="E16" s="1"/>
      <c r="F16" s="1"/>
      <c r="G16" s="1" t="s">
        <v>66</v>
      </c>
      <c r="H16" s="1" t="s">
        <v>59</v>
      </c>
      <c r="I16" s="1" t="s">
        <v>16</v>
      </c>
      <c r="J16" s="1" t="s">
        <v>16</v>
      </c>
      <c r="K16" s="1" t="s">
        <v>60</v>
      </c>
      <c r="L16" s="1" t="s">
        <v>60</v>
      </c>
      <c r="M16" s="1" t="s">
        <v>60</v>
      </c>
      <c r="N16" s="1" t="s">
        <v>91</v>
      </c>
      <c r="O16" s="1"/>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734B-9698-4D7B-89EE-5C2B1F59A107}">
  <sheetPr filterMode="1"/>
  <dimension ref="A1:O139"/>
  <sheetViews>
    <sheetView topLeftCell="C1" zoomScale="85" zoomScaleNormal="85" workbookViewId="0">
      <pane ySplit="1" topLeftCell="A17" activePane="bottomLeft" state="frozen"/>
      <selection pane="bottomLeft" activeCell="A6" sqref="A6"/>
    </sheetView>
  </sheetViews>
  <sheetFormatPr defaultColWidth="8.85546875" defaultRowHeight="14.45"/>
  <cols>
    <col min="1" max="1" width="23" bestFit="1" customWidth="1"/>
    <col min="2" max="2" width="23" customWidth="1"/>
    <col min="3" max="3" width="67.42578125" bestFit="1" customWidth="1"/>
    <col min="4" max="4" width="25.7109375" bestFit="1" customWidth="1"/>
    <col min="5" max="5" width="91.140625" bestFit="1" customWidth="1"/>
    <col min="6" max="6" width="47.42578125" customWidth="1"/>
    <col min="7" max="7" width="139.85546875" bestFit="1" customWidth="1"/>
    <col min="8" max="8" width="24.7109375" bestFit="1" customWidth="1"/>
    <col min="9" max="9" width="26.28515625" bestFit="1" customWidth="1"/>
    <col min="10" max="10" width="22.28515625" bestFit="1" customWidth="1"/>
    <col min="11" max="11" width="22.85546875" bestFit="1" customWidth="1"/>
    <col min="12" max="12" width="22.7109375" bestFit="1" customWidth="1"/>
    <col min="13" max="13" width="22.7109375" customWidth="1"/>
    <col min="14" max="14" width="35.28515625" bestFit="1" customWidth="1"/>
    <col min="15" max="15" width="37.42578125" bestFit="1" customWidth="1"/>
  </cols>
  <sheetData>
    <row r="1" spans="1:15">
      <c r="A1" s="1" t="s">
        <v>39</v>
      </c>
      <c r="B1" s="1" t="s">
        <v>40</v>
      </c>
      <c r="C1" s="1" t="s">
        <v>41</v>
      </c>
      <c r="D1" s="1" t="s">
        <v>1</v>
      </c>
      <c r="E1" s="1" t="s">
        <v>42</v>
      </c>
      <c r="F1" s="1" t="s">
        <v>43</v>
      </c>
      <c r="G1" s="1" t="s">
        <v>44</v>
      </c>
      <c r="H1" s="1" t="s">
        <v>45</v>
      </c>
      <c r="I1" s="1" t="s">
        <v>46</v>
      </c>
      <c r="J1" s="1" t="s">
        <v>47</v>
      </c>
      <c r="K1" s="1" t="s">
        <v>48</v>
      </c>
      <c r="L1" s="1" t="s">
        <v>49</v>
      </c>
      <c r="M1" s="1" t="s">
        <v>50</v>
      </c>
      <c r="N1" s="1" t="s">
        <v>51</v>
      </c>
      <c r="O1" s="1" t="s">
        <v>52</v>
      </c>
    </row>
    <row r="2" spans="1:15">
      <c r="A2" s="1" t="s">
        <v>12</v>
      </c>
      <c r="B2" s="1" t="s">
        <v>95</v>
      </c>
      <c r="C2" s="1" t="s">
        <v>67</v>
      </c>
      <c r="D2" s="1" t="s">
        <v>96</v>
      </c>
      <c r="E2" s="4" t="s">
        <v>68</v>
      </c>
      <c r="F2" s="1" t="s">
        <v>73</v>
      </c>
      <c r="G2" s="1" t="s">
        <v>97</v>
      </c>
      <c r="H2" s="1" t="s">
        <v>98</v>
      </c>
      <c r="I2" s="1" t="s">
        <v>60</v>
      </c>
      <c r="J2" s="1" t="s">
        <v>60</v>
      </c>
      <c r="K2" s="1" t="s">
        <v>60</v>
      </c>
      <c r="L2" s="1" t="s">
        <v>60</v>
      </c>
      <c r="M2" s="1" t="s">
        <v>16</v>
      </c>
      <c r="N2" s="1"/>
      <c r="O2" s="1"/>
    </row>
    <row r="3" spans="1:15">
      <c r="A3" s="1" t="s">
        <v>12</v>
      </c>
      <c r="B3" s="1" t="s">
        <v>95</v>
      </c>
      <c r="C3" s="1" t="s">
        <v>67</v>
      </c>
      <c r="D3" s="1" t="s">
        <v>96</v>
      </c>
      <c r="E3" s="1" t="s">
        <v>99</v>
      </c>
      <c r="F3" s="1" t="s">
        <v>73</v>
      </c>
      <c r="G3" s="1" t="s">
        <v>100</v>
      </c>
      <c r="H3" s="1" t="s">
        <v>98</v>
      </c>
      <c r="I3" s="1" t="s">
        <v>16</v>
      </c>
      <c r="J3" s="1" t="s">
        <v>16</v>
      </c>
      <c r="K3" s="1" t="s">
        <v>16</v>
      </c>
      <c r="L3" s="1" t="s">
        <v>16</v>
      </c>
      <c r="M3" s="1" t="s">
        <v>16</v>
      </c>
      <c r="N3" s="1"/>
      <c r="O3" s="1"/>
    </row>
    <row r="4" spans="1:15">
      <c r="A4" s="1" t="s">
        <v>12</v>
      </c>
      <c r="B4" s="1" t="s">
        <v>101</v>
      </c>
      <c r="C4" s="1" t="s">
        <v>102</v>
      </c>
      <c r="D4" s="1" t="s">
        <v>96</v>
      </c>
      <c r="E4" s="1" t="s">
        <v>103</v>
      </c>
      <c r="F4" s="1" t="s">
        <v>104</v>
      </c>
      <c r="G4" s="1" t="s">
        <v>105</v>
      </c>
      <c r="H4" s="1" t="s">
        <v>98</v>
      </c>
      <c r="I4" s="1" t="s">
        <v>16</v>
      </c>
      <c r="J4" s="1" t="s">
        <v>16</v>
      </c>
      <c r="K4" s="1" t="s">
        <v>16</v>
      </c>
      <c r="L4" s="1" t="s">
        <v>16</v>
      </c>
      <c r="M4" s="1" t="s">
        <v>16</v>
      </c>
      <c r="N4" s="1"/>
      <c r="O4" s="1"/>
    </row>
    <row r="5" spans="1:15">
      <c r="A5" s="1" t="s">
        <v>12</v>
      </c>
      <c r="B5" s="1" t="s">
        <v>101</v>
      </c>
      <c r="C5" s="1" t="s">
        <v>102</v>
      </c>
      <c r="D5" s="1" t="s">
        <v>96</v>
      </c>
      <c r="E5" s="1" t="s">
        <v>103</v>
      </c>
      <c r="F5" s="1" t="s">
        <v>104</v>
      </c>
      <c r="G5" s="1" t="s">
        <v>106</v>
      </c>
      <c r="H5" s="1" t="s">
        <v>98</v>
      </c>
      <c r="I5" s="1" t="s">
        <v>16</v>
      </c>
      <c r="J5" s="1" t="s">
        <v>16</v>
      </c>
      <c r="K5" s="1" t="s">
        <v>16</v>
      </c>
      <c r="L5" s="1" t="s">
        <v>16</v>
      </c>
      <c r="M5" s="1" t="s">
        <v>16</v>
      </c>
      <c r="N5" s="1"/>
      <c r="O5" s="1"/>
    </row>
    <row r="6" spans="1:15">
      <c r="A6" s="1"/>
      <c r="B6" s="1"/>
      <c r="C6" s="1"/>
      <c r="D6" s="1" t="s">
        <v>96</v>
      </c>
      <c r="E6" s="1"/>
      <c r="F6" s="1"/>
      <c r="G6" s="1" t="s">
        <v>107</v>
      </c>
      <c r="H6" s="1"/>
      <c r="I6" s="1"/>
      <c r="J6" s="1"/>
      <c r="K6" s="1"/>
      <c r="L6" s="1"/>
      <c r="M6" s="1"/>
      <c r="N6" s="1"/>
      <c r="O6" s="1"/>
    </row>
    <row r="7" spans="1:15">
      <c r="A7" s="1"/>
      <c r="B7" s="1"/>
      <c r="C7" s="1"/>
      <c r="D7" s="1" t="s">
        <v>96</v>
      </c>
      <c r="E7" s="1"/>
      <c r="F7" s="1"/>
      <c r="G7" s="1" t="s">
        <v>108</v>
      </c>
      <c r="H7" s="1"/>
      <c r="I7" s="1"/>
      <c r="J7" s="1"/>
      <c r="K7" s="1"/>
      <c r="L7" s="1"/>
      <c r="M7" s="1"/>
      <c r="N7" s="1"/>
      <c r="O7" s="1"/>
    </row>
    <row r="8" spans="1:15">
      <c r="A8" s="1"/>
      <c r="B8" s="1"/>
      <c r="C8" s="1"/>
      <c r="D8" s="1" t="s">
        <v>96</v>
      </c>
      <c r="E8" s="1"/>
      <c r="F8" s="1"/>
      <c r="G8" s="1" t="s">
        <v>109</v>
      </c>
      <c r="H8" s="1"/>
      <c r="I8" s="1"/>
      <c r="J8" s="1"/>
      <c r="K8" s="1"/>
      <c r="L8" s="1"/>
      <c r="M8" s="1"/>
      <c r="N8" s="1"/>
      <c r="O8" s="1"/>
    </row>
    <row r="9" spans="1:15">
      <c r="A9" s="1"/>
      <c r="B9" s="1"/>
      <c r="C9" s="1"/>
      <c r="D9" s="1" t="s">
        <v>96</v>
      </c>
      <c r="E9" s="1"/>
      <c r="F9" s="1"/>
      <c r="G9" s="1" t="s">
        <v>110</v>
      </c>
      <c r="H9" s="1"/>
      <c r="I9" s="1"/>
      <c r="J9" s="1"/>
      <c r="K9" s="1"/>
      <c r="L9" s="1"/>
      <c r="M9" s="1"/>
      <c r="N9" s="1"/>
      <c r="O9" s="1"/>
    </row>
    <row r="10" spans="1:15">
      <c r="A10" s="1"/>
      <c r="B10" s="1"/>
      <c r="C10" s="1"/>
      <c r="D10" s="1" t="s">
        <v>96</v>
      </c>
      <c r="E10" s="1"/>
      <c r="F10" s="1"/>
      <c r="G10" s="1" t="s">
        <v>111</v>
      </c>
      <c r="H10" s="1"/>
      <c r="I10" s="1"/>
      <c r="J10" s="1"/>
      <c r="K10" s="1"/>
      <c r="L10" s="1"/>
      <c r="M10" s="1"/>
      <c r="N10" s="1"/>
      <c r="O10" s="1"/>
    </row>
    <row r="11" spans="1:15">
      <c r="A11" s="1"/>
      <c r="B11" s="1"/>
      <c r="C11" s="1"/>
      <c r="D11" s="1" t="s">
        <v>96</v>
      </c>
      <c r="E11" s="1"/>
      <c r="F11" s="1"/>
      <c r="G11" s="1" t="s">
        <v>112</v>
      </c>
      <c r="H11" s="1"/>
      <c r="I11" s="1"/>
      <c r="J11" s="1"/>
      <c r="K11" s="1"/>
      <c r="L11" s="1"/>
      <c r="M11" s="1"/>
      <c r="N11" s="1"/>
      <c r="O11" s="1"/>
    </row>
    <row r="12" spans="1:15">
      <c r="A12" s="1"/>
      <c r="B12" s="1"/>
      <c r="C12" s="1"/>
      <c r="D12" s="1" t="s">
        <v>96</v>
      </c>
      <c r="E12" s="1"/>
      <c r="F12" s="1"/>
      <c r="G12" s="1" t="s">
        <v>113</v>
      </c>
      <c r="H12" s="1"/>
      <c r="I12" s="1"/>
      <c r="J12" s="1"/>
      <c r="K12" s="1"/>
      <c r="L12" s="1"/>
      <c r="M12" s="1"/>
      <c r="N12" s="1"/>
      <c r="O12" s="1"/>
    </row>
    <row r="13" spans="1:15">
      <c r="A13" s="1"/>
      <c r="B13" s="1"/>
      <c r="C13" s="1"/>
      <c r="D13" s="1" t="s">
        <v>96</v>
      </c>
      <c r="E13" s="1"/>
      <c r="F13" s="1"/>
      <c r="G13" s="1" t="s">
        <v>114</v>
      </c>
      <c r="H13" s="1"/>
      <c r="I13" s="1"/>
      <c r="J13" s="1"/>
      <c r="K13" s="1"/>
      <c r="L13" s="1"/>
      <c r="M13" s="1"/>
      <c r="N13" s="1"/>
      <c r="O13" s="1"/>
    </row>
    <row r="14" spans="1:15">
      <c r="A14" s="1"/>
      <c r="B14" s="1"/>
      <c r="C14" s="1"/>
      <c r="D14" s="1" t="s">
        <v>96</v>
      </c>
      <c r="E14" s="1"/>
      <c r="F14" s="1"/>
      <c r="G14" s="1" t="s">
        <v>115</v>
      </c>
      <c r="H14" s="1"/>
      <c r="I14" s="1"/>
      <c r="J14" s="1"/>
      <c r="K14" s="1"/>
      <c r="L14" s="1"/>
      <c r="M14" s="1"/>
      <c r="N14" s="1"/>
      <c r="O14" s="1"/>
    </row>
    <row r="15" spans="1:15">
      <c r="A15" s="1"/>
      <c r="B15" s="1"/>
      <c r="C15" s="1"/>
      <c r="D15" s="1" t="s">
        <v>96</v>
      </c>
      <c r="E15" s="1"/>
      <c r="G15" s="5" t="s">
        <v>116</v>
      </c>
      <c r="H15" s="1"/>
      <c r="I15" s="1"/>
      <c r="J15" s="1"/>
      <c r="K15" s="1"/>
      <c r="L15" s="1"/>
      <c r="M15" s="1"/>
      <c r="N15" s="1"/>
      <c r="O15" s="1"/>
    </row>
    <row r="16" spans="1:15">
      <c r="A16" s="1"/>
      <c r="B16" s="1"/>
      <c r="C16" s="1"/>
      <c r="D16" s="7" t="s">
        <v>96</v>
      </c>
      <c r="E16" s="7"/>
      <c r="F16" s="6" t="s">
        <v>117</v>
      </c>
      <c r="G16" s="8"/>
      <c r="H16" s="1"/>
      <c r="I16" s="1"/>
      <c r="J16" s="1"/>
      <c r="K16" s="1"/>
      <c r="L16" s="1"/>
      <c r="M16" s="1"/>
      <c r="N16" s="1"/>
      <c r="O16" s="1"/>
    </row>
    <row r="17" spans="1:15">
      <c r="A17" s="1"/>
      <c r="B17" s="1"/>
      <c r="C17" s="1"/>
      <c r="D17" s="1"/>
      <c r="E17" s="1"/>
      <c r="F17" s="1"/>
      <c r="G17" s="5"/>
      <c r="H17" s="1"/>
      <c r="I17" s="1"/>
      <c r="J17" s="1"/>
      <c r="K17" s="1"/>
      <c r="L17" s="1"/>
      <c r="M17" s="1"/>
      <c r="N17" s="1"/>
      <c r="O17" s="1"/>
    </row>
    <row r="18" spans="1:15">
      <c r="A18" s="1"/>
      <c r="B18" s="1"/>
      <c r="C18" s="1"/>
      <c r="D18" s="1"/>
      <c r="E18" s="1"/>
      <c r="F18" s="1"/>
      <c r="G18" s="5"/>
      <c r="H18" s="1"/>
      <c r="I18" s="1"/>
      <c r="J18" s="1"/>
      <c r="K18" s="1"/>
      <c r="L18" s="1"/>
      <c r="M18" s="1"/>
      <c r="N18" s="1"/>
      <c r="O18" s="1"/>
    </row>
    <row r="19" spans="1:15">
      <c r="A19" s="1"/>
      <c r="B19" s="1"/>
      <c r="C19" s="1" t="s">
        <v>54</v>
      </c>
      <c r="D19" s="1" t="s">
        <v>55</v>
      </c>
      <c r="E19" s="1" t="s">
        <v>56</v>
      </c>
      <c r="F19" s="1" t="s">
        <v>57</v>
      </c>
      <c r="G19" s="1" t="s">
        <v>118</v>
      </c>
      <c r="H19" s="1" t="s">
        <v>59</v>
      </c>
      <c r="I19" s="1" t="s">
        <v>16</v>
      </c>
      <c r="J19" s="1" t="s">
        <v>16</v>
      </c>
      <c r="K19" s="1" t="s">
        <v>60</v>
      </c>
      <c r="L19" s="1" t="s">
        <v>60</v>
      </c>
      <c r="M19" s="1" t="s">
        <v>60</v>
      </c>
      <c r="N19" s="1"/>
      <c r="O19" s="1"/>
    </row>
    <row r="20" spans="1:15">
      <c r="A20" s="1"/>
      <c r="B20" s="1"/>
      <c r="C20" s="1" t="s">
        <v>54</v>
      </c>
      <c r="D20" s="1" t="s">
        <v>55</v>
      </c>
      <c r="E20" s="1" t="s">
        <v>56</v>
      </c>
      <c r="F20" s="1" t="s">
        <v>62</v>
      </c>
      <c r="G20" s="1" t="s">
        <v>118</v>
      </c>
      <c r="H20" s="1" t="s">
        <v>59</v>
      </c>
      <c r="I20" s="1" t="s">
        <v>16</v>
      </c>
      <c r="J20" s="1" t="s">
        <v>16</v>
      </c>
      <c r="K20" s="1" t="s">
        <v>60</v>
      </c>
      <c r="L20" s="1" t="s">
        <v>60</v>
      </c>
      <c r="M20" s="1" t="s">
        <v>60</v>
      </c>
      <c r="N20" s="1"/>
      <c r="O20" s="1"/>
    </row>
    <row r="21" spans="1:15">
      <c r="A21" s="1"/>
      <c r="B21" s="1"/>
      <c r="C21" s="1" t="s">
        <v>54</v>
      </c>
      <c r="D21" s="1" t="s">
        <v>55</v>
      </c>
      <c r="E21" s="1" t="s">
        <v>56</v>
      </c>
      <c r="F21" s="1" t="s">
        <v>65</v>
      </c>
      <c r="G21" s="1" t="s">
        <v>118</v>
      </c>
      <c r="H21" s="1" t="s">
        <v>59</v>
      </c>
      <c r="I21" s="1" t="s">
        <v>16</v>
      </c>
      <c r="J21" s="1" t="s">
        <v>16</v>
      </c>
      <c r="K21" s="1" t="s">
        <v>60</v>
      </c>
      <c r="L21" s="1" t="s">
        <v>60</v>
      </c>
      <c r="M21" s="1" t="s">
        <v>60</v>
      </c>
      <c r="N21" s="1"/>
      <c r="O21" s="1"/>
    </row>
    <row r="22" spans="1:15">
      <c r="A22" s="1"/>
      <c r="B22" s="1"/>
      <c r="C22" s="1" t="s">
        <v>35</v>
      </c>
      <c r="D22" s="1" t="s">
        <v>55</v>
      </c>
      <c r="E22" s="9" t="s">
        <v>68</v>
      </c>
      <c r="F22" s="1" t="s">
        <v>69</v>
      </c>
      <c r="G22" s="1" t="s">
        <v>72</v>
      </c>
      <c r="H22" s="1" t="s">
        <v>59</v>
      </c>
      <c r="I22" s="1" t="s">
        <v>16</v>
      </c>
      <c r="J22" s="1" t="s">
        <v>16</v>
      </c>
      <c r="K22" s="1" t="s">
        <v>60</v>
      </c>
      <c r="L22" s="1" t="s">
        <v>60</v>
      </c>
      <c r="M22" s="1" t="s">
        <v>60</v>
      </c>
      <c r="N22" s="1"/>
      <c r="O22" s="1"/>
    </row>
    <row r="23" spans="1:15">
      <c r="A23" s="1"/>
      <c r="B23" s="1"/>
      <c r="C23" s="1" t="s">
        <v>35</v>
      </c>
      <c r="D23" s="1" t="s">
        <v>55</v>
      </c>
      <c r="E23" s="9" t="s">
        <v>68</v>
      </c>
      <c r="F23" s="1" t="s">
        <v>71</v>
      </c>
      <c r="G23" s="1" t="s">
        <v>72</v>
      </c>
      <c r="H23" s="1" t="s">
        <v>59</v>
      </c>
      <c r="I23" s="1" t="s">
        <v>16</v>
      </c>
      <c r="J23" s="1" t="s">
        <v>16</v>
      </c>
      <c r="K23" s="1" t="s">
        <v>60</v>
      </c>
      <c r="L23" s="1" t="s">
        <v>60</v>
      </c>
      <c r="M23" s="1" t="s">
        <v>60</v>
      </c>
      <c r="N23" s="1"/>
      <c r="O23" s="1"/>
    </row>
    <row r="24" spans="1:15">
      <c r="A24" s="1"/>
      <c r="B24" s="1"/>
      <c r="C24" s="1" t="s">
        <v>67</v>
      </c>
      <c r="D24" s="1" t="s">
        <v>55</v>
      </c>
      <c r="E24" s="9" t="s">
        <v>68</v>
      </c>
      <c r="F24" s="1" t="s">
        <v>73</v>
      </c>
      <c r="G24" s="1" t="s">
        <v>74</v>
      </c>
      <c r="H24" s="1" t="s">
        <v>59</v>
      </c>
      <c r="I24" s="1" t="s">
        <v>16</v>
      </c>
      <c r="J24" s="1" t="s">
        <v>16</v>
      </c>
      <c r="K24" s="1" t="s">
        <v>60</v>
      </c>
      <c r="L24" s="1" t="s">
        <v>60</v>
      </c>
      <c r="M24" s="1" t="s">
        <v>60</v>
      </c>
      <c r="N24" s="1"/>
      <c r="O24" s="1"/>
    </row>
    <row r="25" spans="1:15">
      <c r="A25" s="1"/>
      <c r="B25" s="1"/>
      <c r="C25" s="1" t="s">
        <v>67</v>
      </c>
      <c r="D25" s="1" t="s">
        <v>55</v>
      </c>
      <c r="E25" s="9" t="s">
        <v>68</v>
      </c>
      <c r="F25" s="1" t="s">
        <v>12</v>
      </c>
      <c r="G25" s="1" t="s">
        <v>74</v>
      </c>
      <c r="H25" s="1" t="s">
        <v>59</v>
      </c>
      <c r="I25" s="1" t="s">
        <v>16</v>
      </c>
      <c r="J25" s="1" t="s">
        <v>16</v>
      </c>
      <c r="K25" s="1" t="s">
        <v>60</v>
      </c>
      <c r="L25" s="1" t="s">
        <v>60</v>
      </c>
      <c r="M25" s="1" t="s">
        <v>60</v>
      </c>
      <c r="N25" s="1"/>
      <c r="O25" s="1"/>
    </row>
    <row r="26" spans="1:15">
      <c r="A26" s="1"/>
      <c r="B26" s="1"/>
      <c r="C26" s="1" t="s">
        <v>67</v>
      </c>
      <c r="D26" s="1" t="s">
        <v>55</v>
      </c>
      <c r="E26" s="9" t="s">
        <v>68</v>
      </c>
      <c r="F26" s="1" t="s">
        <v>76</v>
      </c>
      <c r="G26" s="1" t="s">
        <v>74</v>
      </c>
      <c r="H26" s="1" t="s">
        <v>59</v>
      </c>
      <c r="I26" s="1" t="s">
        <v>16</v>
      </c>
      <c r="J26" s="1" t="s">
        <v>16</v>
      </c>
      <c r="K26" s="1" t="s">
        <v>60</v>
      </c>
      <c r="L26" s="1" t="s">
        <v>60</v>
      </c>
      <c r="M26" s="1" t="s">
        <v>60</v>
      </c>
      <c r="N26" s="1"/>
      <c r="O26" s="1"/>
    </row>
    <row r="27" spans="1:15">
      <c r="A27" s="1"/>
      <c r="B27" s="1"/>
      <c r="C27" s="1" t="s">
        <v>67</v>
      </c>
      <c r="D27" s="1" t="s">
        <v>55</v>
      </c>
      <c r="E27" s="9" t="s">
        <v>68</v>
      </c>
      <c r="F27" s="1" t="s">
        <v>77</v>
      </c>
      <c r="G27" s="1" t="s">
        <v>78</v>
      </c>
      <c r="H27" s="1" t="s">
        <v>79</v>
      </c>
      <c r="I27" s="1" t="s">
        <v>16</v>
      </c>
      <c r="J27" s="1" t="s">
        <v>16</v>
      </c>
      <c r="K27" s="1" t="s">
        <v>60</v>
      </c>
      <c r="L27" s="1" t="s">
        <v>60</v>
      </c>
      <c r="M27" s="1" t="s">
        <v>60</v>
      </c>
      <c r="N27" s="1"/>
      <c r="O27" s="1"/>
    </row>
    <row r="28" spans="1:15">
      <c r="A28" s="1"/>
      <c r="B28" s="1"/>
      <c r="C28" s="1" t="s">
        <v>67</v>
      </c>
      <c r="D28" s="1" t="s">
        <v>55</v>
      </c>
      <c r="E28" s="9" t="s">
        <v>68</v>
      </c>
      <c r="F28" s="1" t="s">
        <v>12</v>
      </c>
      <c r="G28" s="1" t="s">
        <v>78</v>
      </c>
      <c r="H28" s="1" t="s">
        <v>79</v>
      </c>
      <c r="I28" s="1" t="s">
        <v>16</v>
      </c>
      <c r="J28" s="1" t="s">
        <v>16</v>
      </c>
      <c r="K28" s="1" t="s">
        <v>60</v>
      </c>
      <c r="L28" s="1" t="s">
        <v>60</v>
      </c>
      <c r="M28" s="1" t="s">
        <v>60</v>
      </c>
      <c r="N28" s="1"/>
      <c r="O28" s="1"/>
    </row>
    <row r="29" spans="1:15">
      <c r="A29" s="1"/>
      <c r="B29" s="1"/>
      <c r="C29" s="1" t="s">
        <v>22</v>
      </c>
      <c r="D29" s="1" t="s">
        <v>55</v>
      </c>
      <c r="E29" s="1" t="s">
        <v>81</v>
      </c>
      <c r="F29" s="1" t="s">
        <v>82</v>
      </c>
      <c r="G29" s="1" t="s">
        <v>119</v>
      </c>
      <c r="H29" s="1" t="s">
        <v>84</v>
      </c>
      <c r="I29" s="1" t="s">
        <v>16</v>
      </c>
      <c r="J29" s="1" t="s">
        <v>16</v>
      </c>
      <c r="K29" s="1" t="s">
        <v>60</v>
      </c>
      <c r="L29" s="1" t="s">
        <v>60</v>
      </c>
      <c r="M29" s="1" t="s">
        <v>60</v>
      </c>
      <c r="N29" s="1"/>
      <c r="O29" s="1"/>
    </row>
    <row r="30" spans="1:15">
      <c r="A30" s="1"/>
      <c r="B30" s="1"/>
      <c r="C30" s="1" t="s">
        <v>86</v>
      </c>
      <c r="D30" s="1" t="s">
        <v>55</v>
      </c>
      <c r="E30" s="1" t="s">
        <v>87</v>
      </c>
      <c r="F30" s="1" t="s">
        <v>69</v>
      </c>
      <c r="G30" s="1" t="s">
        <v>88</v>
      </c>
      <c r="H30" s="1" t="s">
        <v>59</v>
      </c>
      <c r="I30" s="1" t="s">
        <v>16</v>
      </c>
      <c r="J30" s="1" t="s">
        <v>16</v>
      </c>
      <c r="K30" s="1" t="s">
        <v>60</v>
      </c>
      <c r="L30" s="1" t="s">
        <v>60</v>
      </c>
      <c r="M30" s="1" t="s">
        <v>60</v>
      </c>
      <c r="N30" s="1"/>
      <c r="O30" s="1"/>
    </row>
    <row r="31" spans="1:15">
      <c r="A31" s="1"/>
      <c r="B31" s="1"/>
      <c r="C31" s="1"/>
      <c r="D31" s="1"/>
      <c r="E31" s="1"/>
      <c r="F31" s="1"/>
      <c r="G31" s="1"/>
      <c r="H31" s="1"/>
      <c r="I31" s="1"/>
      <c r="J31" s="1"/>
      <c r="K31" s="1"/>
      <c r="L31" s="1"/>
      <c r="M31" s="1"/>
      <c r="N31" s="1"/>
      <c r="O31" s="1"/>
    </row>
    <row r="32" spans="1:15">
      <c r="A32" s="1"/>
      <c r="B32" s="1"/>
      <c r="C32" s="1"/>
      <c r="D32" s="1"/>
      <c r="E32" s="1"/>
      <c r="F32" s="1"/>
      <c r="G32" s="1"/>
      <c r="H32" s="1"/>
      <c r="I32" s="1"/>
      <c r="J32" s="1"/>
      <c r="K32" s="1"/>
      <c r="L32" s="1"/>
      <c r="M32" s="1"/>
      <c r="N32" s="1"/>
      <c r="O32" s="1"/>
    </row>
    <row r="33" spans="1:15">
      <c r="A33" s="1"/>
      <c r="B33" s="1"/>
      <c r="C33" s="1"/>
      <c r="D33" s="1"/>
      <c r="E33" s="1"/>
      <c r="F33" s="1"/>
      <c r="G33" s="1"/>
      <c r="H33" s="1"/>
      <c r="I33" s="1"/>
      <c r="J33" s="1"/>
      <c r="K33" s="1"/>
      <c r="L33" s="1"/>
      <c r="M33" s="1"/>
      <c r="N33" s="1"/>
      <c r="O33" s="1"/>
    </row>
    <row r="34" spans="1:15">
      <c r="A34" s="1"/>
      <c r="B34" s="1"/>
      <c r="C34" s="1"/>
      <c r="D34" s="1"/>
      <c r="E34" s="1"/>
      <c r="F34" s="1"/>
      <c r="G34" s="1"/>
      <c r="H34" s="1"/>
      <c r="I34" s="1"/>
      <c r="J34" s="1"/>
      <c r="K34" s="1"/>
      <c r="L34" s="1"/>
      <c r="M34" s="1"/>
      <c r="N34" s="1"/>
      <c r="O34" s="1"/>
    </row>
    <row r="35" spans="1:15">
      <c r="A35" s="1"/>
      <c r="B35" s="1"/>
      <c r="C35" s="1"/>
      <c r="D35" s="1"/>
      <c r="E35" s="1"/>
      <c r="F35" s="1"/>
      <c r="G35" s="1"/>
      <c r="H35" s="1"/>
      <c r="I35" s="1"/>
      <c r="J35" s="1"/>
      <c r="K35" s="1"/>
      <c r="L35" s="1"/>
      <c r="M35" s="1"/>
      <c r="N35" s="1"/>
      <c r="O35" s="1"/>
    </row>
    <row r="36" spans="1:15">
      <c r="A36" s="1"/>
      <c r="B36" s="1"/>
      <c r="C36" s="1"/>
      <c r="D36" s="1"/>
      <c r="E36" s="1"/>
      <c r="F36" s="1"/>
      <c r="G36" s="1"/>
      <c r="H36" s="1"/>
      <c r="I36" s="1"/>
      <c r="J36" s="1"/>
      <c r="K36" s="1"/>
      <c r="L36" s="1"/>
      <c r="M36" s="1"/>
      <c r="N36" s="1"/>
      <c r="O36" s="1"/>
    </row>
    <row r="37" spans="1:15">
      <c r="A37" s="1"/>
      <c r="B37" s="1"/>
      <c r="C37" s="1"/>
      <c r="D37" s="1"/>
      <c r="E37" s="1"/>
      <c r="F37" s="1"/>
      <c r="G37" s="1"/>
      <c r="H37" s="1"/>
      <c r="I37" s="1"/>
      <c r="J37" s="1"/>
      <c r="K37" s="1"/>
      <c r="L37" s="1"/>
      <c r="M37" s="1"/>
      <c r="N37" s="1"/>
      <c r="O37" s="1"/>
    </row>
    <row r="38" spans="1:15">
      <c r="A38" s="1"/>
      <c r="B38" s="1"/>
      <c r="C38" s="1"/>
      <c r="D38" s="1"/>
      <c r="E38" s="1"/>
      <c r="F38" s="1"/>
      <c r="G38" s="1"/>
      <c r="H38" s="1"/>
      <c r="I38" s="1"/>
      <c r="J38" s="1"/>
      <c r="K38" s="1"/>
      <c r="L38" s="1"/>
      <c r="M38" s="1"/>
      <c r="N38" s="1"/>
      <c r="O38" s="1"/>
    </row>
    <row r="39" spans="1:15">
      <c r="A39" s="1"/>
      <c r="B39" s="1"/>
      <c r="C39" s="1"/>
      <c r="D39" s="1"/>
      <c r="E39" s="1"/>
      <c r="F39" s="1"/>
      <c r="G39" s="1"/>
      <c r="H39" s="1"/>
      <c r="I39" s="1"/>
      <c r="J39" s="1"/>
      <c r="K39" s="1"/>
      <c r="L39" s="1"/>
      <c r="M39" s="1"/>
      <c r="N39" s="1"/>
      <c r="O39" s="1"/>
    </row>
    <row r="40" spans="1:15">
      <c r="A40" s="1"/>
      <c r="B40" s="1"/>
      <c r="C40" s="1"/>
      <c r="D40" s="1"/>
      <c r="E40" s="1"/>
      <c r="F40" s="1"/>
      <c r="G40" s="1"/>
      <c r="H40" s="1"/>
      <c r="I40" s="1"/>
      <c r="J40" s="1"/>
      <c r="K40" s="1"/>
      <c r="L40" s="1"/>
      <c r="M40" s="1"/>
      <c r="N40" s="1"/>
      <c r="O40" s="1"/>
    </row>
    <row r="41" spans="1:15">
      <c r="A41" s="1"/>
      <c r="B41" s="1"/>
      <c r="C41" s="1"/>
      <c r="D41" s="1"/>
      <c r="E41" s="1"/>
      <c r="F41" s="1"/>
      <c r="G41" s="1"/>
      <c r="H41" s="1"/>
      <c r="I41" s="1"/>
      <c r="J41" s="1"/>
      <c r="K41" s="1"/>
      <c r="L41" s="1"/>
      <c r="M41" s="1"/>
      <c r="N41" s="1"/>
      <c r="O41" s="1"/>
    </row>
    <row r="42" spans="1:15">
      <c r="A42" s="1"/>
      <c r="B42" s="1"/>
      <c r="C42" s="1"/>
      <c r="D42" s="1"/>
      <c r="E42" s="1"/>
      <c r="F42" s="1"/>
      <c r="G42" s="1"/>
      <c r="H42" s="1"/>
      <c r="I42" s="1"/>
      <c r="J42" s="1"/>
      <c r="K42" s="1"/>
      <c r="L42" s="1"/>
      <c r="M42" s="1"/>
      <c r="N42" s="1"/>
      <c r="O42" s="1"/>
    </row>
    <row r="43" spans="1:15">
      <c r="A43" s="1"/>
      <c r="B43" s="1"/>
      <c r="C43" s="1"/>
      <c r="D43" s="1"/>
      <c r="E43" s="1"/>
      <c r="F43" s="1"/>
      <c r="G43" s="1"/>
      <c r="H43" s="1"/>
      <c r="I43" s="1"/>
      <c r="J43" s="1"/>
      <c r="K43" s="1"/>
      <c r="L43" s="1"/>
      <c r="M43" s="1"/>
      <c r="N43" s="1"/>
      <c r="O43" s="1"/>
    </row>
    <row r="44" spans="1:15">
      <c r="A44" s="1"/>
      <c r="B44" s="1"/>
      <c r="C44" s="1"/>
      <c r="D44" s="1"/>
      <c r="E44" s="1"/>
      <c r="F44" s="1"/>
      <c r="G44" s="1"/>
      <c r="H44" s="1"/>
      <c r="I44" s="1"/>
      <c r="J44" s="1"/>
      <c r="K44" s="1"/>
      <c r="L44" s="1"/>
      <c r="M44" s="1"/>
      <c r="N44" s="1"/>
      <c r="O44" s="1"/>
    </row>
    <row r="45" spans="1:15">
      <c r="A45" s="1"/>
      <c r="B45" s="1"/>
      <c r="C45" s="1"/>
      <c r="D45" s="1" t="s">
        <v>120</v>
      </c>
      <c r="E45" s="1"/>
      <c r="F45" s="4" t="s">
        <v>121</v>
      </c>
      <c r="G45" s="1" t="s">
        <v>122</v>
      </c>
      <c r="H45" s="1"/>
      <c r="I45" s="1"/>
      <c r="J45" s="1"/>
      <c r="K45" s="1"/>
      <c r="L45" s="1"/>
      <c r="M45" s="1"/>
      <c r="N45" s="1"/>
      <c r="O45" s="1"/>
    </row>
    <row r="46" spans="1:15">
      <c r="A46" s="1"/>
      <c r="B46" s="1"/>
      <c r="C46" s="1"/>
      <c r="D46" s="1" t="s">
        <v>120</v>
      </c>
      <c r="E46" s="1"/>
      <c r="F46" s="6" t="s">
        <v>117</v>
      </c>
      <c r="G46" s="1"/>
      <c r="H46" s="1"/>
      <c r="I46" s="1"/>
      <c r="J46" s="1"/>
      <c r="K46" s="1"/>
      <c r="L46" s="1"/>
      <c r="M46" s="1"/>
      <c r="N46" s="1"/>
      <c r="O46" s="1"/>
    </row>
    <row r="47" spans="1:15">
      <c r="A47" s="1"/>
      <c r="B47" s="1"/>
      <c r="C47" s="1"/>
      <c r="D47" s="1" t="s">
        <v>120</v>
      </c>
      <c r="E47" s="1"/>
      <c r="F47" s="4" t="s">
        <v>123</v>
      </c>
      <c r="G47" s="1"/>
      <c r="H47" s="1"/>
      <c r="I47" s="1"/>
      <c r="J47" s="1"/>
      <c r="K47" s="1"/>
      <c r="L47" s="1"/>
      <c r="M47" s="1"/>
      <c r="N47" s="1"/>
      <c r="O47" s="1"/>
    </row>
    <row r="48" spans="1:15">
      <c r="A48" s="1"/>
      <c r="B48" s="1"/>
      <c r="C48" s="1"/>
      <c r="D48" s="1" t="s">
        <v>120</v>
      </c>
      <c r="E48" s="1"/>
      <c r="F48" s="4" t="s">
        <v>124</v>
      </c>
      <c r="G48" s="1"/>
      <c r="H48" s="1"/>
      <c r="I48" s="1"/>
      <c r="J48" s="1"/>
      <c r="K48" s="1"/>
      <c r="L48" s="1"/>
      <c r="M48" s="1"/>
      <c r="N48" s="1"/>
      <c r="O48" s="1"/>
    </row>
    <row r="49" spans="1:15">
      <c r="A49" s="1"/>
      <c r="B49" s="1"/>
      <c r="C49" s="1"/>
      <c r="D49" s="1" t="s">
        <v>120</v>
      </c>
      <c r="E49" s="1"/>
      <c r="F49" s="4" t="s">
        <v>125</v>
      </c>
      <c r="G49" s="1"/>
      <c r="H49" s="1"/>
      <c r="I49" s="1"/>
      <c r="J49" s="1"/>
      <c r="K49" s="1"/>
      <c r="L49" s="1"/>
      <c r="M49" s="1"/>
      <c r="N49" s="1"/>
      <c r="O49" s="1"/>
    </row>
    <row r="50" spans="1:15">
      <c r="A50" s="1"/>
      <c r="B50" s="1"/>
      <c r="C50" s="1"/>
      <c r="D50" s="1" t="s">
        <v>120</v>
      </c>
      <c r="E50" s="1"/>
      <c r="F50" s="4" t="s">
        <v>126</v>
      </c>
      <c r="G50" s="1"/>
      <c r="H50" s="1"/>
      <c r="I50" s="1"/>
      <c r="J50" s="1"/>
      <c r="K50" s="1"/>
      <c r="L50" s="1"/>
      <c r="M50" s="1"/>
      <c r="N50" s="1"/>
      <c r="O50" s="1"/>
    </row>
    <row r="51" spans="1:15">
      <c r="A51" s="1"/>
      <c r="B51" s="1"/>
      <c r="C51" s="1"/>
      <c r="D51" s="1" t="s">
        <v>120</v>
      </c>
      <c r="E51" s="1"/>
      <c r="F51" s="4" t="s">
        <v>127</v>
      </c>
      <c r="G51" s="1"/>
      <c r="H51" s="1"/>
      <c r="I51" s="1"/>
      <c r="J51" s="1"/>
      <c r="K51" s="1"/>
      <c r="L51" s="1"/>
      <c r="M51" s="1"/>
      <c r="N51" s="1"/>
      <c r="O51" s="1"/>
    </row>
    <row r="52" spans="1:15">
      <c r="A52" s="1"/>
      <c r="B52" s="1"/>
      <c r="C52" s="1"/>
      <c r="D52" s="1" t="s">
        <v>120</v>
      </c>
      <c r="E52" s="1"/>
      <c r="F52" s="4" t="s">
        <v>128</v>
      </c>
      <c r="G52" s="1"/>
      <c r="H52" s="1"/>
      <c r="I52" s="1"/>
      <c r="J52" s="1"/>
      <c r="K52" s="1"/>
      <c r="L52" s="1"/>
      <c r="M52" s="1"/>
      <c r="N52" s="1"/>
      <c r="O52" s="1"/>
    </row>
    <row r="53" spans="1:15">
      <c r="A53" s="1"/>
      <c r="B53" s="1"/>
      <c r="C53" s="1"/>
      <c r="D53" s="1" t="s">
        <v>120</v>
      </c>
      <c r="E53" s="1"/>
      <c r="F53" s="4" t="s">
        <v>129</v>
      </c>
      <c r="G53" s="1"/>
      <c r="H53" s="1"/>
      <c r="I53" s="1"/>
      <c r="J53" s="1"/>
      <c r="K53" s="1"/>
      <c r="L53" s="1"/>
      <c r="M53" s="1"/>
      <c r="N53" s="1"/>
      <c r="O53" s="1"/>
    </row>
    <row r="54" spans="1:15">
      <c r="A54" s="1"/>
      <c r="B54" s="1"/>
      <c r="C54" s="1"/>
      <c r="D54" s="1" t="s">
        <v>120</v>
      </c>
      <c r="E54" s="1"/>
      <c r="F54" s="4" t="s">
        <v>130</v>
      </c>
      <c r="G54" s="1"/>
      <c r="H54" s="1"/>
      <c r="I54" s="1"/>
      <c r="J54" s="1"/>
      <c r="K54" s="1"/>
      <c r="L54" s="1"/>
      <c r="M54" s="1"/>
      <c r="N54" s="1"/>
      <c r="O54" s="1"/>
    </row>
    <row r="55" spans="1:15">
      <c r="A55" s="1"/>
      <c r="B55" s="1"/>
      <c r="C55" s="1"/>
      <c r="D55" s="1" t="s">
        <v>120</v>
      </c>
      <c r="E55" s="1"/>
      <c r="F55" s="4" t="s">
        <v>131</v>
      </c>
      <c r="G55" s="1"/>
      <c r="H55" s="1"/>
      <c r="I55" s="1"/>
      <c r="J55" s="1"/>
      <c r="K55" s="1"/>
      <c r="L55" s="1"/>
      <c r="M55" s="1"/>
      <c r="N55" s="1"/>
      <c r="O55" s="1"/>
    </row>
    <row r="56" spans="1:15">
      <c r="A56" s="1"/>
      <c r="B56" s="1"/>
      <c r="C56" s="1"/>
      <c r="D56" s="1" t="s">
        <v>120</v>
      </c>
      <c r="E56" s="1"/>
      <c r="F56" s="4" t="s">
        <v>132</v>
      </c>
      <c r="G56" s="1"/>
      <c r="H56" s="1"/>
      <c r="I56" s="1"/>
      <c r="J56" s="1"/>
      <c r="K56" s="1"/>
      <c r="L56" s="1"/>
      <c r="M56" s="1"/>
      <c r="N56" s="1"/>
      <c r="O56" s="1"/>
    </row>
    <row r="57" spans="1:15">
      <c r="A57" s="1"/>
      <c r="B57" s="1"/>
      <c r="C57" s="1"/>
      <c r="D57" s="1" t="s">
        <v>120</v>
      </c>
      <c r="E57" s="1"/>
      <c r="F57" s="4" t="s">
        <v>133</v>
      </c>
      <c r="G57" s="1"/>
      <c r="H57" s="1"/>
      <c r="I57" s="1"/>
      <c r="J57" s="1"/>
      <c r="K57" s="1"/>
      <c r="L57" s="1"/>
      <c r="M57" s="1"/>
      <c r="N57" s="1"/>
      <c r="O57" s="1"/>
    </row>
    <row r="58" spans="1:15">
      <c r="A58" s="1"/>
      <c r="B58" s="1"/>
      <c r="C58" s="1"/>
      <c r="D58" s="1" t="s">
        <v>120</v>
      </c>
      <c r="E58" s="1"/>
      <c r="F58" s="4" t="s">
        <v>134</v>
      </c>
      <c r="G58" s="1"/>
      <c r="H58" s="1"/>
      <c r="I58" s="1"/>
      <c r="J58" s="1"/>
      <c r="K58" s="1"/>
      <c r="L58" s="1"/>
      <c r="M58" s="1"/>
      <c r="N58" s="1"/>
      <c r="O58" s="1"/>
    </row>
    <row r="59" spans="1:15">
      <c r="A59" s="1"/>
      <c r="B59" s="1"/>
      <c r="C59" s="1"/>
      <c r="D59" s="1" t="s">
        <v>120</v>
      </c>
      <c r="E59" s="1"/>
      <c r="F59" s="4" t="s">
        <v>135</v>
      </c>
      <c r="G59" s="1"/>
      <c r="H59" s="1"/>
      <c r="I59" s="1"/>
      <c r="J59" s="1"/>
      <c r="K59" s="1"/>
      <c r="L59" s="1"/>
      <c r="M59" s="1"/>
      <c r="N59" s="1"/>
      <c r="O59" s="1"/>
    </row>
    <row r="60" spans="1:15">
      <c r="A60" s="1"/>
      <c r="B60" s="1"/>
      <c r="C60" s="1"/>
      <c r="D60" s="1"/>
      <c r="E60" s="1"/>
      <c r="F60" s="1"/>
      <c r="G60" s="1"/>
      <c r="H60" s="1"/>
      <c r="I60" s="1"/>
      <c r="J60" s="1"/>
      <c r="K60" s="1"/>
      <c r="L60" s="1"/>
      <c r="M60" s="1"/>
      <c r="N60" s="1"/>
      <c r="O60" s="1"/>
    </row>
    <row r="61" spans="1:15">
      <c r="A61" s="1"/>
      <c r="B61" s="1"/>
      <c r="C61" s="1"/>
      <c r="D61" s="1"/>
      <c r="E61" s="1"/>
      <c r="F61" s="1"/>
      <c r="G61" s="1"/>
      <c r="H61" s="1"/>
      <c r="I61" s="1"/>
      <c r="J61" s="1"/>
      <c r="K61" s="1"/>
      <c r="L61" s="1"/>
      <c r="M61" s="1"/>
      <c r="N61" s="1"/>
      <c r="O61" s="1"/>
    </row>
    <row r="62" spans="1:15">
      <c r="A62" s="1"/>
      <c r="B62" s="1"/>
      <c r="C62" s="1"/>
      <c r="D62" s="1"/>
      <c r="E62" s="1"/>
      <c r="F62" s="1"/>
      <c r="G62" s="1"/>
      <c r="H62" s="1"/>
      <c r="I62" s="1"/>
      <c r="J62" s="1"/>
      <c r="K62" s="1"/>
      <c r="L62" s="1"/>
      <c r="M62" s="1"/>
      <c r="N62" s="1"/>
      <c r="O62" s="1"/>
    </row>
    <row r="63" spans="1:15">
      <c r="A63" s="1"/>
      <c r="B63" s="1"/>
      <c r="C63" s="1"/>
      <c r="D63" s="1"/>
      <c r="E63" s="1"/>
      <c r="F63" s="1"/>
      <c r="G63" s="1"/>
      <c r="H63" s="1"/>
      <c r="I63" s="1"/>
      <c r="J63" s="1"/>
      <c r="K63" s="1"/>
      <c r="L63" s="1"/>
      <c r="M63" s="1"/>
      <c r="N63" s="1"/>
      <c r="O63" s="1"/>
    </row>
    <row r="64" spans="1:15">
      <c r="A64" s="1"/>
      <c r="B64" s="1"/>
      <c r="C64" s="1"/>
      <c r="D64" s="1"/>
      <c r="E64" s="1"/>
      <c r="F64" s="1"/>
      <c r="G64" s="1"/>
      <c r="H64" s="1"/>
      <c r="I64" s="1"/>
      <c r="J64" s="1"/>
      <c r="K64" s="1"/>
      <c r="L64" s="1"/>
      <c r="M64" s="1"/>
      <c r="N64" s="1"/>
      <c r="O64" s="1"/>
    </row>
    <row r="65" spans="1:15">
      <c r="A65" s="1"/>
      <c r="B65" s="1"/>
      <c r="C65" s="1"/>
      <c r="D65" s="1"/>
      <c r="E65" s="1"/>
      <c r="F65" s="1"/>
      <c r="G65" s="1"/>
      <c r="H65" s="1"/>
      <c r="I65" s="1"/>
      <c r="J65" s="1"/>
      <c r="K65" s="1"/>
      <c r="L65" s="1"/>
      <c r="M65" s="1"/>
      <c r="N65" s="1"/>
      <c r="O65" s="1"/>
    </row>
    <row r="66" spans="1:15">
      <c r="A66" s="1"/>
      <c r="B66" s="1"/>
      <c r="C66" s="1"/>
      <c r="D66" s="1"/>
      <c r="E66" s="1"/>
      <c r="F66" s="1"/>
      <c r="G66" s="1"/>
      <c r="H66" s="1"/>
      <c r="I66" s="1"/>
      <c r="J66" s="1"/>
      <c r="K66" s="1"/>
      <c r="L66" s="1"/>
      <c r="M66" s="1"/>
      <c r="N66" s="1"/>
      <c r="O66" s="1"/>
    </row>
    <row r="67" spans="1:15">
      <c r="A67" s="1"/>
      <c r="B67" s="1"/>
      <c r="C67" s="1"/>
      <c r="D67" s="1"/>
      <c r="E67" s="1"/>
      <c r="F67" s="1"/>
      <c r="G67" s="1"/>
      <c r="H67" s="1"/>
      <c r="I67" s="1"/>
      <c r="J67" s="1"/>
      <c r="K67" s="1"/>
      <c r="L67" s="1"/>
      <c r="M67" s="1"/>
      <c r="N67" s="1"/>
      <c r="O67" s="1"/>
    </row>
    <row r="68" spans="1:15">
      <c r="A68" s="1"/>
      <c r="B68" s="1"/>
      <c r="C68" s="1"/>
      <c r="D68" s="1"/>
      <c r="E68" s="1"/>
      <c r="F68" s="1"/>
      <c r="G68" s="1"/>
      <c r="H68" s="1"/>
      <c r="I68" s="1"/>
      <c r="J68" s="1"/>
      <c r="K68" s="1"/>
      <c r="L68" s="1"/>
      <c r="M68" s="1"/>
      <c r="N68" s="1"/>
      <c r="O68" s="1"/>
    </row>
    <row r="69" spans="1:15">
      <c r="A69" s="1"/>
      <c r="B69" s="1"/>
      <c r="C69" s="1"/>
      <c r="D69" s="1"/>
      <c r="E69" s="1"/>
      <c r="F69" s="1"/>
      <c r="G69" s="1"/>
      <c r="H69" s="1"/>
      <c r="I69" s="1"/>
      <c r="J69" s="1"/>
      <c r="K69" s="1"/>
      <c r="L69" s="1"/>
      <c r="M69" s="1"/>
      <c r="N69" s="1"/>
      <c r="O69" s="1"/>
    </row>
    <row r="70" spans="1:15">
      <c r="A70" s="1"/>
      <c r="B70" s="1"/>
      <c r="C70" s="1"/>
      <c r="D70" s="1"/>
      <c r="E70" s="1"/>
      <c r="F70" s="1"/>
      <c r="G70" s="1"/>
      <c r="H70" s="1"/>
      <c r="I70" s="1"/>
      <c r="J70" s="1"/>
      <c r="K70" s="1"/>
      <c r="L70" s="1"/>
      <c r="M70" s="1"/>
      <c r="N70" s="1"/>
      <c r="O70" s="1"/>
    </row>
    <row r="71" spans="1:15">
      <c r="A71" s="1"/>
      <c r="B71" s="1"/>
      <c r="C71" s="1"/>
      <c r="D71" s="1"/>
      <c r="E71" s="1"/>
      <c r="F71" s="1"/>
      <c r="G71" s="1"/>
      <c r="H71" s="1"/>
      <c r="I71" s="1"/>
      <c r="J71" s="1"/>
      <c r="K71" s="1"/>
      <c r="L71" s="1"/>
      <c r="M71" s="1"/>
      <c r="N71" s="1"/>
      <c r="O71" s="1"/>
    </row>
    <row r="72" spans="1:15">
      <c r="A72" s="1"/>
      <c r="B72" s="1"/>
      <c r="C72" s="1"/>
      <c r="D72" s="1"/>
      <c r="E72" s="1"/>
      <c r="F72" s="1"/>
      <c r="G72" s="1"/>
      <c r="H72" s="1"/>
      <c r="I72" s="1"/>
      <c r="J72" s="1"/>
      <c r="K72" s="1"/>
      <c r="L72" s="1"/>
      <c r="M72" s="1"/>
      <c r="N72" s="1"/>
      <c r="O72" s="1"/>
    </row>
    <row r="73" spans="1:15">
      <c r="A73" s="1"/>
      <c r="B73" s="1"/>
      <c r="C73" s="1"/>
      <c r="D73" s="1"/>
      <c r="E73" s="1"/>
      <c r="F73" s="1"/>
      <c r="G73" s="1"/>
      <c r="H73" s="1"/>
      <c r="I73" s="1"/>
      <c r="J73" s="1"/>
      <c r="K73" s="1"/>
      <c r="L73" s="1"/>
      <c r="M73" s="1"/>
      <c r="N73" s="1"/>
      <c r="O73" s="1"/>
    </row>
    <row r="74" spans="1:15">
      <c r="A74" s="1"/>
      <c r="B74" s="1"/>
      <c r="C74" s="1"/>
      <c r="D74" s="1"/>
      <c r="E74" s="1"/>
      <c r="F74" s="1"/>
      <c r="G74" s="1"/>
      <c r="H74" s="1"/>
      <c r="I74" s="1"/>
      <c r="J74" s="1"/>
      <c r="K74" s="1"/>
      <c r="L74" s="1"/>
      <c r="M74" s="1"/>
      <c r="N74" s="1"/>
      <c r="O74" s="1"/>
    </row>
    <row r="75" spans="1:15">
      <c r="A75" s="1"/>
      <c r="B75" s="1"/>
      <c r="C75" s="1"/>
      <c r="D75" s="1"/>
      <c r="E75" s="1"/>
      <c r="F75" s="1"/>
      <c r="G75" s="1"/>
      <c r="H75" s="1"/>
      <c r="I75" s="1"/>
      <c r="J75" s="1"/>
      <c r="K75" s="1"/>
      <c r="L75" s="1"/>
      <c r="M75" s="1"/>
      <c r="N75" s="1"/>
      <c r="O75" s="1"/>
    </row>
    <row r="76" spans="1:15">
      <c r="A76" s="1"/>
      <c r="B76" s="1"/>
      <c r="C76" s="1"/>
      <c r="D76" s="1"/>
      <c r="E76" s="1"/>
      <c r="F76" s="1"/>
      <c r="G76" s="1"/>
      <c r="H76" s="1"/>
      <c r="I76" s="1"/>
      <c r="J76" s="1"/>
      <c r="K76" s="1"/>
      <c r="L76" s="1"/>
      <c r="M76" s="1"/>
      <c r="N76" s="1"/>
      <c r="O76" s="1"/>
    </row>
    <row r="77" spans="1:15">
      <c r="A77" s="1"/>
      <c r="B77" s="1"/>
      <c r="C77" s="1"/>
      <c r="D77" s="1"/>
      <c r="E77" s="1"/>
      <c r="F77" s="1"/>
      <c r="G77" s="1"/>
      <c r="H77" s="1"/>
      <c r="I77" s="1"/>
      <c r="J77" s="1"/>
      <c r="K77" s="1"/>
      <c r="L77" s="1"/>
      <c r="M77" s="1"/>
      <c r="N77" s="1"/>
      <c r="O77" s="1"/>
    </row>
    <row r="78" spans="1:15">
      <c r="A78" s="1"/>
      <c r="B78" s="1"/>
      <c r="C78" s="1"/>
      <c r="D78" s="1"/>
      <c r="E78" s="1"/>
      <c r="F78" s="1"/>
      <c r="G78" s="1"/>
      <c r="H78" s="1"/>
      <c r="I78" s="1"/>
      <c r="J78" s="1"/>
      <c r="K78" s="1"/>
      <c r="L78" s="1"/>
      <c r="M78" s="1"/>
      <c r="N78" s="1"/>
      <c r="O78" s="1"/>
    </row>
    <row r="79" spans="1:15">
      <c r="A79" s="1"/>
      <c r="B79" s="1"/>
      <c r="C79" s="1"/>
      <c r="D79" s="1"/>
      <c r="E79" s="1"/>
      <c r="F79" s="1"/>
      <c r="G79" s="1"/>
      <c r="H79" s="1"/>
      <c r="I79" s="1"/>
      <c r="J79" s="1"/>
      <c r="K79" s="1"/>
      <c r="L79" s="1"/>
      <c r="M79" s="1"/>
      <c r="N79" s="1"/>
      <c r="O79" s="1"/>
    </row>
    <row r="80" spans="1:15">
      <c r="A80" s="1"/>
      <c r="B80" s="1"/>
      <c r="C80" s="1"/>
      <c r="D80" s="1"/>
      <c r="E80" s="1"/>
      <c r="F80" s="1"/>
      <c r="G80" s="1"/>
      <c r="H80" s="1"/>
      <c r="I80" s="1"/>
      <c r="J80" s="1"/>
      <c r="K80" s="1"/>
      <c r="L80" s="1"/>
      <c r="M80" s="1"/>
      <c r="N80" s="1"/>
      <c r="O80" s="1"/>
    </row>
    <row r="81" spans="1:15">
      <c r="A81" s="1"/>
      <c r="B81" s="1"/>
      <c r="C81" s="1"/>
      <c r="D81" s="1"/>
      <c r="E81" s="1"/>
      <c r="F81" s="1"/>
      <c r="G81" s="1"/>
      <c r="H81" s="1"/>
      <c r="I81" s="1"/>
      <c r="J81" s="1"/>
      <c r="K81" s="1"/>
      <c r="L81" s="1"/>
      <c r="M81" s="1"/>
      <c r="N81" s="1"/>
      <c r="O81" s="1"/>
    </row>
    <row r="82" spans="1:15">
      <c r="A82" s="1"/>
      <c r="B82" s="1"/>
      <c r="C82" s="1"/>
      <c r="D82" s="1"/>
      <c r="E82" s="1"/>
      <c r="F82" s="1"/>
      <c r="G82" s="1"/>
      <c r="H82" s="1"/>
      <c r="I82" s="1"/>
      <c r="J82" s="1"/>
      <c r="K82" s="1"/>
      <c r="L82" s="1"/>
      <c r="M82" s="1"/>
      <c r="N82" s="1"/>
      <c r="O82" s="1"/>
    </row>
    <row r="83" spans="1:15">
      <c r="A83" s="1"/>
      <c r="B83" s="1"/>
      <c r="C83" s="1"/>
      <c r="D83" s="1"/>
      <c r="E83" s="1"/>
      <c r="F83" s="1"/>
      <c r="G83" s="1"/>
      <c r="H83" s="1"/>
      <c r="I83" s="1"/>
      <c r="J83" s="1"/>
      <c r="K83" s="1"/>
      <c r="L83" s="1"/>
      <c r="M83" s="1"/>
      <c r="N83" s="1"/>
      <c r="O83" s="1"/>
    </row>
    <row r="84" spans="1:15">
      <c r="A84" s="1"/>
      <c r="B84" s="1"/>
      <c r="C84" s="1"/>
      <c r="D84" s="1"/>
      <c r="E84" s="1"/>
      <c r="F84" s="1"/>
      <c r="G84" s="1"/>
      <c r="H84" s="1"/>
      <c r="I84" s="1"/>
      <c r="J84" s="1"/>
      <c r="K84" s="1"/>
      <c r="L84" s="1"/>
      <c r="M84" s="1"/>
      <c r="N84" s="1"/>
      <c r="O84" s="1"/>
    </row>
    <row r="85" spans="1:15">
      <c r="A85" s="1"/>
      <c r="B85" s="1"/>
      <c r="C85" s="1"/>
      <c r="D85" s="1"/>
      <c r="E85" s="1"/>
      <c r="F85" s="1"/>
      <c r="G85" s="1"/>
      <c r="H85" s="1"/>
      <c r="I85" s="1"/>
      <c r="J85" s="1"/>
      <c r="K85" s="1"/>
      <c r="L85" s="1"/>
      <c r="M85" s="1"/>
      <c r="N85" s="1"/>
      <c r="O85" s="1"/>
    </row>
    <row r="86" spans="1:15">
      <c r="A86" s="1"/>
      <c r="B86" s="1"/>
      <c r="C86" s="1"/>
      <c r="D86" s="1"/>
      <c r="E86" s="1"/>
      <c r="F86" s="1"/>
      <c r="G86" s="1"/>
      <c r="H86" s="1"/>
      <c r="I86" s="1"/>
      <c r="J86" s="1"/>
      <c r="K86" s="1"/>
      <c r="L86" s="1"/>
      <c r="M86" s="1"/>
      <c r="N86" s="1"/>
      <c r="O86" s="1"/>
    </row>
    <row r="87" spans="1:15">
      <c r="A87" s="1"/>
      <c r="B87" s="1"/>
      <c r="C87" s="1"/>
      <c r="D87" s="1"/>
      <c r="E87" s="1"/>
      <c r="F87" s="1"/>
      <c r="G87" s="1"/>
      <c r="H87" s="1"/>
      <c r="I87" s="1"/>
      <c r="J87" s="1"/>
      <c r="K87" s="1"/>
      <c r="L87" s="1"/>
      <c r="M87" s="1"/>
      <c r="N87" s="1"/>
      <c r="O87" s="1"/>
    </row>
    <row r="88" spans="1:15">
      <c r="A88" s="1"/>
      <c r="B88" s="1"/>
      <c r="C88" s="1"/>
      <c r="D88" s="1"/>
      <c r="E88" s="1"/>
      <c r="F88" s="1"/>
      <c r="G88" s="1"/>
      <c r="H88" s="1"/>
      <c r="I88" s="1"/>
      <c r="J88" s="1"/>
      <c r="K88" s="1"/>
      <c r="L88" s="1"/>
      <c r="M88" s="1"/>
      <c r="N88" s="1"/>
      <c r="O88" s="1"/>
    </row>
    <row r="89" spans="1:15">
      <c r="A89" s="1"/>
      <c r="B89" s="1"/>
      <c r="C89" s="1"/>
      <c r="D89" s="1"/>
      <c r="E89" s="1"/>
      <c r="F89" s="1"/>
      <c r="G89" s="1"/>
      <c r="H89" s="1"/>
      <c r="I89" s="1"/>
      <c r="J89" s="1"/>
      <c r="K89" s="1"/>
      <c r="L89" s="1"/>
      <c r="M89" s="1"/>
      <c r="N89" s="1"/>
      <c r="O89" s="1"/>
    </row>
    <row r="90" spans="1:15">
      <c r="A90" s="1"/>
      <c r="B90" s="1"/>
      <c r="C90" s="1"/>
      <c r="D90" s="1"/>
      <c r="E90" s="1"/>
      <c r="F90" s="1"/>
      <c r="G90" s="1"/>
      <c r="H90" s="1"/>
      <c r="I90" s="1"/>
      <c r="J90" s="1"/>
      <c r="K90" s="1"/>
      <c r="L90" s="1"/>
      <c r="M90" s="1"/>
      <c r="N90" s="1"/>
      <c r="O90" s="1"/>
    </row>
    <row r="91" spans="1:15">
      <c r="A91" s="1"/>
      <c r="B91" s="1"/>
      <c r="C91" s="1"/>
      <c r="D91" s="1"/>
      <c r="E91" s="1"/>
      <c r="F91" s="1"/>
      <c r="G91" s="1"/>
      <c r="H91" s="1"/>
      <c r="I91" s="1"/>
      <c r="J91" s="1"/>
      <c r="K91" s="1"/>
      <c r="L91" s="1"/>
      <c r="M91" s="1"/>
      <c r="N91" s="1"/>
      <c r="O91" s="1"/>
    </row>
    <row r="92" spans="1:15">
      <c r="A92" s="1"/>
      <c r="B92" s="1"/>
      <c r="C92" s="1"/>
      <c r="D92" s="1"/>
      <c r="E92" s="1"/>
      <c r="F92" s="1"/>
      <c r="G92" s="1"/>
      <c r="H92" s="1"/>
      <c r="I92" s="1"/>
      <c r="J92" s="1"/>
      <c r="K92" s="1"/>
      <c r="L92" s="1"/>
      <c r="M92" s="1"/>
      <c r="N92" s="1"/>
      <c r="O92" s="1"/>
    </row>
    <row r="93" spans="1:15">
      <c r="A93" s="1"/>
      <c r="B93" s="1"/>
      <c r="C93" s="1"/>
      <c r="D93" s="1"/>
      <c r="E93" s="1"/>
      <c r="F93" s="1"/>
      <c r="G93" s="1"/>
      <c r="H93" s="1"/>
      <c r="I93" s="1"/>
      <c r="J93" s="1"/>
      <c r="K93" s="1"/>
      <c r="L93" s="1"/>
      <c r="M93" s="1"/>
      <c r="N93" s="1"/>
      <c r="O93" s="1"/>
    </row>
    <row r="94" spans="1:15">
      <c r="A94" s="1"/>
      <c r="B94" s="1"/>
      <c r="C94" s="1"/>
      <c r="D94" s="1"/>
      <c r="E94" s="1"/>
      <c r="F94" s="1"/>
      <c r="G94" s="1"/>
      <c r="H94" s="1"/>
      <c r="I94" s="1"/>
      <c r="J94" s="1"/>
      <c r="K94" s="1"/>
      <c r="L94" s="1"/>
      <c r="M94" s="1"/>
      <c r="N94" s="1"/>
      <c r="O94" s="1"/>
    </row>
    <row r="95" spans="1:15">
      <c r="A95" s="1"/>
      <c r="B95" s="1"/>
      <c r="C95" s="1"/>
      <c r="D95" s="1"/>
      <c r="E95" s="1"/>
      <c r="F95" s="1"/>
      <c r="G95" s="1"/>
      <c r="H95" s="1"/>
      <c r="I95" s="1"/>
      <c r="J95" s="1"/>
      <c r="K95" s="1"/>
      <c r="L95" s="1"/>
      <c r="M95" s="1"/>
      <c r="N95" s="1"/>
      <c r="O95" s="1"/>
    </row>
    <row r="96" spans="1:15">
      <c r="A96" s="1"/>
      <c r="B96" s="1"/>
      <c r="C96" s="1"/>
      <c r="D96" s="1"/>
      <c r="E96" s="1"/>
      <c r="F96" s="1"/>
      <c r="G96" s="1"/>
      <c r="H96" s="1"/>
      <c r="I96" s="1"/>
      <c r="J96" s="1"/>
      <c r="K96" s="1"/>
      <c r="L96" s="1"/>
      <c r="M96" s="1"/>
      <c r="N96" s="1"/>
      <c r="O96" s="1"/>
    </row>
    <row r="97" spans="1:15">
      <c r="A97" s="1"/>
      <c r="B97" s="1"/>
      <c r="C97" s="1"/>
      <c r="D97" s="1"/>
      <c r="E97" s="1"/>
      <c r="F97" s="1"/>
      <c r="G97" s="1"/>
      <c r="H97" s="1"/>
      <c r="I97" s="1"/>
      <c r="J97" s="1"/>
      <c r="K97" s="1"/>
      <c r="L97" s="1"/>
      <c r="M97" s="1"/>
      <c r="N97" s="1"/>
      <c r="O97" s="1"/>
    </row>
    <row r="98" spans="1:15">
      <c r="A98" s="1"/>
      <c r="B98" s="1"/>
      <c r="C98" s="1"/>
      <c r="D98" s="1"/>
      <c r="E98" s="1"/>
      <c r="F98" s="1"/>
      <c r="G98" s="1"/>
      <c r="H98" s="1"/>
      <c r="I98" s="1"/>
      <c r="J98" s="1"/>
      <c r="K98" s="1"/>
      <c r="L98" s="1"/>
      <c r="M98" s="1"/>
      <c r="N98" s="1"/>
      <c r="O98" s="1"/>
    </row>
    <row r="99" spans="1:15">
      <c r="A99" s="1"/>
      <c r="B99" s="1"/>
      <c r="C99" s="1"/>
      <c r="D99" s="1"/>
      <c r="E99" s="1"/>
      <c r="F99" s="1"/>
      <c r="G99" s="1"/>
      <c r="H99" s="1"/>
      <c r="I99" s="1"/>
      <c r="J99" s="1"/>
      <c r="K99" s="1"/>
      <c r="L99" s="1"/>
      <c r="M99" s="1"/>
      <c r="N99" s="1"/>
      <c r="O99" s="1"/>
    </row>
    <row r="100" spans="1:15">
      <c r="A100" s="1"/>
      <c r="B100" s="1"/>
      <c r="C100" s="1"/>
      <c r="D100" s="1"/>
      <c r="E100" s="1"/>
      <c r="F100" s="1"/>
      <c r="G100" s="1"/>
      <c r="H100" s="1"/>
      <c r="I100" s="1"/>
      <c r="J100" s="1"/>
      <c r="K100" s="1"/>
      <c r="L100" s="1"/>
      <c r="M100" s="1"/>
      <c r="N100" s="1"/>
      <c r="O100" s="1"/>
    </row>
    <row r="101" spans="1:15">
      <c r="A101" s="1"/>
      <c r="B101" s="1"/>
      <c r="C101" s="1"/>
      <c r="D101" s="1"/>
      <c r="E101" s="1"/>
      <c r="F101" s="1"/>
      <c r="G101" s="1"/>
      <c r="H101" s="1"/>
      <c r="I101" s="1"/>
      <c r="J101" s="1"/>
      <c r="K101" s="1"/>
      <c r="L101" s="1"/>
      <c r="M101" s="1"/>
      <c r="N101" s="1"/>
      <c r="O101" s="1"/>
    </row>
    <row r="102" spans="1:15">
      <c r="A102" s="1"/>
      <c r="B102" s="1"/>
      <c r="C102" s="1"/>
      <c r="D102" s="1"/>
      <c r="E102" s="1"/>
      <c r="F102" s="1"/>
      <c r="G102" s="1"/>
      <c r="H102" s="1"/>
      <c r="I102" s="1"/>
      <c r="J102" s="1"/>
      <c r="K102" s="1"/>
      <c r="L102" s="1"/>
      <c r="M102" s="1"/>
      <c r="N102" s="1"/>
      <c r="O102" s="1"/>
    </row>
    <row r="103" spans="1:15">
      <c r="A103" s="1"/>
      <c r="B103" s="1"/>
      <c r="C103" s="1"/>
      <c r="D103" s="1"/>
      <c r="E103" s="1"/>
      <c r="F103" s="1"/>
      <c r="G103" s="1"/>
      <c r="H103" s="1"/>
      <c r="I103" s="1"/>
      <c r="J103" s="1"/>
      <c r="K103" s="1"/>
      <c r="L103" s="1"/>
      <c r="M103" s="1"/>
      <c r="N103" s="1"/>
      <c r="O103" s="1"/>
    </row>
    <row r="104" spans="1:15">
      <c r="A104" s="1"/>
      <c r="B104" s="1"/>
      <c r="C104" s="1"/>
      <c r="D104" s="1"/>
      <c r="E104" s="1"/>
      <c r="F104" s="1"/>
      <c r="G104" s="1"/>
      <c r="H104" s="1"/>
      <c r="I104" s="1"/>
      <c r="J104" s="1"/>
      <c r="K104" s="1"/>
      <c r="L104" s="1"/>
      <c r="M104" s="1"/>
      <c r="N104" s="1"/>
      <c r="O104" s="1"/>
    </row>
    <row r="105" spans="1:15">
      <c r="A105" s="1"/>
      <c r="B105" s="1"/>
      <c r="C105" s="1"/>
      <c r="D105" s="1"/>
      <c r="E105" s="1"/>
      <c r="F105" s="1"/>
      <c r="G105" s="1"/>
      <c r="H105" s="1"/>
      <c r="I105" s="1"/>
      <c r="J105" s="1"/>
      <c r="K105" s="1"/>
      <c r="L105" s="1"/>
      <c r="M105" s="1"/>
      <c r="N105" s="1"/>
      <c r="O105" s="1"/>
    </row>
    <row r="106" spans="1:15">
      <c r="A106" s="1"/>
      <c r="B106" s="1"/>
      <c r="C106" s="1"/>
      <c r="D106" s="1"/>
      <c r="E106" s="1"/>
      <c r="F106" s="1"/>
      <c r="G106" s="1"/>
      <c r="H106" s="1"/>
      <c r="I106" s="1"/>
      <c r="J106" s="1"/>
      <c r="K106" s="1"/>
      <c r="L106" s="1"/>
      <c r="M106" s="1"/>
      <c r="N106" s="1"/>
      <c r="O106" s="1"/>
    </row>
    <row r="107" spans="1:15">
      <c r="A107" s="1"/>
      <c r="B107" s="1"/>
      <c r="C107" s="1"/>
      <c r="D107" s="1"/>
      <c r="E107" s="1"/>
      <c r="F107" s="1"/>
      <c r="G107" s="1"/>
      <c r="H107" s="1"/>
      <c r="I107" s="1"/>
      <c r="J107" s="1"/>
      <c r="K107" s="1"/>
      <c r="L107" s="1"/>
      <c r="M107" s="1"/>
      <c r="N107" s="1"/>
      <c r="O107" s="1"/>
    </row>
    <row r="108" spans="1:15">
      <c r="A108" s="1"/>
      <c r="B108" s="1"/>
      <c r="C108" s="1"/>
      <c r="D108" s="1"/>
      <c r="E108" s="1"/>
      <c r="F108" s="1"/>
      <c r="G108" s="1"/>
      <c r="H108" s="1"/>
      <c r="I108" s="1"/>
      <c r="J108" s="1"/>
      <c r="K108" s="1"/>
      <c r="L108" s="1"/>
      <c r="M108" s="1"/>
      <c r="N108" s="1"/>
      <c r="O108" s="1"/>
    </row>
    <row r="109" spans="1:15">
      <c r="A109" s="1"/>
      <c r="B109" s="1"/>
      <c r="C109" s="1"/>
      <c r="D109" s="1"/>
      <c r="E109" s="1"/>
      <c r="F109" s="1"/>
      <c r="G109" s="1"/>
      <c r="H109" s="1"/>
      <c r="I109" s="1"/>
      <c r="J109" s="1"/>
      <c r="K109" s="1"/>
      <c r="L109" s="1"/>
      <c r="M109" s="1"/>
      <c r="N109" s="1"/>
      <c r="O109" s="1"/>
    </row>
    <row r="110" spans="1:15">
      <c r="A110" s="1"/>
      <c r="B110" s="1"/>
      <c r="C110" s="1"/>
      <c r="D110" s="1"/>
      <c r="E110" s="1"/>
      <c r="F110" s="1"/>
      <c r="G110" s="1"/>
      <c r="H110" s="1"/>
      <c r="I110" s="1"/>
      <c r="J110" s="1"/>
      <c r="K110" s="1"/>
      <c r="L110" s="1"/>
      <c r="M110" s="1"/>
      <c r="N110" s="1"/>
      <c r="O110" s="1"/>
    </row>
    <row r="111" spans="1:15">
      <c r="A111" s="1"/>
      <c r="B111" s="1"/>
      <c r="C111" s="1"/>
      <c r="D111" s="1"/>
      <c r="E111" s="1"/>
      <c r="F111" s="1"/>
      <c r="G111" s="1"/>
      <c r="H111" s="1"/>
      <c r="I111" s="1"/>
      <c r="J111" s="1"/>
      <c r="K111" s="1"/>
      <c r="L111" s="1"/>
      <c r="M111" s="1"/>
      <c r="N111" s="1"/>
      <c r="O111" s="1"/>
    </row>
    <row r="112" spans="1:15">
      <c r="A112" s="1"/>
      <c r="B112" s="1"/>
      <c r="C112" s="1"/>
      <c r="D112" s="1"/>
      <c r="E112" s="1"/>
      <c r="F112" s="1"/>
      <c r="G112" s="1"/>
      <c r="H112" s="1"/>
      <c r="I112" s="1"/>
      <c r="J112" s="1"/>
      <c r="K112" s="1"/>
      <c r="L112" s="1"/>
      <c r="M112" s="1"/>
      <c r="N112" s="1"/>
      <c r="O112" s="1"/>
    </row>
    <row r="113" spans="1:15">
      <c r="A113" s="1"/>
      <c r="B113" s="1"/>
      <c r="C113" s="1"/>
      <c r="D113" s="1"/>
      <c r="E113" s="1"/>
      <c r="F113" s="1"/>
      <c r="G113" s="1"/>
      <c r="H113" s="1"/>
      <c r="I113" s="1"/>
      <c r="J113" s="1"/>
      <c r="K113" s="1"/>
      <c r="L113" s="1"/>
      <c r="M113" s="1"/>
      <c r="N113" s="1"/>
      <c r="O113" s="1"/>
    </row>
    <row r="114" spans="1:15">
      <c r="A114" s="1"/>
      <c r="B114" s="1"/>
      <c r="C114" s="1"/>
      <c r="D114" s="1"/>
      <c r="E114" s="1"/>
      <c r="F114" s="1"/>
      <c r="G114" s="1"/>
      <c r="H114" s="1"/>
      <c r="I114" s="1"/>
      <c r="J114" s="1"/>
      <c r="K114" s="1"/>
      <c r="L114" s="1"/>
      <c r="M114" s="1"/>
      <c r="N114" s="1"/>
      <c r="O114" s="1"/>
    </row>
    <row r="115" spans="1:15">
      <c r="A115" s="1"/>
      <c r="B115" s="1"/>
      <c r="C115" s="1"/>
      <c r="D115" s="1"/>
      <c r="E115" s="1"/>
      <c r="F115" s="1"/>
      <c r="G115" s="1"/>
      <c r="H115" s="1"/>
      <c r="I115" s="1"/>
      <c r="J115" s="1"/>
      <c r="K115" s="1"/>
      <c r="L115" s="1"/>
      <c r="M115" s="1"/>
      <c r="N115" s="1"/>
      <c r="O115" s="1"/>
    </row>
    <row r="116" spans="1:15">
      <c r="A116" s="1"/>
      <c r="B116" s="1"/>
      <c r="C116" s="1"/>
      <c r="D116" s="1"/>
      <c r="E116" s="1"/>
      <c r="F116" s="1"/>
      <c r="G116" s="1"/>
      <c r="H116" s="1"/>
      <c r="I116" s="1"/>
      <c r="J116" s="1"/>
      <c r="K116" s="1"/>
      <c r="L116" s="1"/>
      <c r="M116" s="1"/>
      <c r="N116" s="1"/>
      <c r="O116" s="1"/>
    </row>
    <row r="117" spans="1:15">
      <c r="A117" s="1"/>
      <c r="B117" s="1"/>
      <c r="C117" s="1"/>
      <c r="D117" s="1"/>
      <c r="E117" s="1"/>
      <c r="F117" s="1"/>
      <c r="G117" s="1"/>
      <c r="H117" s="1"/>
      <c r="I117" s="1"/>
      <c r="J117" s="1"/>
      <c r="K117" s="1"/>
      <c r="L117" s="1"/>
      <c r="M117" s="1"/>
      <c r="N117" s="1"/>
      <c r="O117" s="1"/>
    </row>
    <row r="118" spans="1:15">
      <c r="A118" s="1"/>
      <c r="B118" s="1"/>
      <c r="C118" s="1"/>
      <c r="D118" s="1"/>
      <c r="E118" s="1"/>
      <c r="F118" s="1"/>
      <c r="G118" s="1"/>
      <c r="H118" s="1"/>
      <c r="I118" s="1"/>
      <c r="J118" s="1"/>
      <c r="K118" s="1"/>
      <c r="L118" s="1"/>
      <c r="M118" s="1"/>
      <c r="N118" s="1"/>
      <c r="O118" s="1"/>
    </row>
    <row r="119" spans="1:15">
      <c r="A119" s="1" t="s">
        <v>31</v>
      </c>
      <c r="B119" s="1"/>
      <c r="C119" s="1" t="s">
        <v>136</v>
      </c>
      <c r="D119" s="1"/>
      <c r="E119" s="1"/>
      <c r="F119" s="1"/>
      <c r="G119" s="1"/>
      <c r="H119" s="1"/>
      <c r="I119" s="1"/>
      <c r="J119" s="1"/>
      <c r="K119" s="1"/>
      <c r="L119" s="1"/>
      <c r="M119" s="1"/>
      <c r="N119" s="1"/>
      <c r="O119" s="1"/>
    </row>
    <row r="120" spans="1:15">
      <c r="A120" s="1" t="s">
        <v>31</v>
      </c>
      <c r="B120" s="1"/>
      <c r="C120" s="1" t="s">
        <v>137</v>
      </c>
      <c r="D120" s="1"/>
      <c r="E120" s="1"/>
      <c r="F120" s="1"/>
      <c r="G120" s="1"/>
      <c r="H120" s="1"/>
      <c r="I120" s="1"/>
      <c r="J120" s="1"/>
      <c r="K120" s="1"/>
      <c r="L120" s="1"/>
      <c r="M120" s="1"/>
      <c r="N120" s="1"/>
      <c r="O120" s="1"/>
    </row>
    <row r="121" spans="1:15">
      <c r="A121" s="1" t="s">
        <v>31</v>
      </c>
      <c r="B121" s="1"/>
      <c r="C121" s="1" t="s">
        <v>138</v>
      </c>
      <c r="D121" s="1"/>
      <c r="E121" s="1"/>
      <c r="F121" s="1"/>
      <c r="G121" s="1"/>
      <c r="H121" s="1"/>
      <c r="I121" s="1"/>
      <c r="J121" s="1"/>
      <c r="K121" s="1"/>
      <c r="L121" s="1"/>
      <c r="M121" s="1"/>
      <c r="N121" s="1"/>
      <c r="O121" s="1"/>
    </row>
    <row r="122" spans="1:15">
      <c r="A122" s="1" t="s">
        <v>31</v>
      </c>
      <c r="B122" s="1"/>
      <c r="C122" s="1" t="s">
        <v>139</v>
      </c>
      <c r="D122" s="1"/>
      <c r="E122" s="1"/>
      <c r="F122" s="1"/>
      <c r="G122" s="1"/>
      <c r="H122" s="1"/>
      <c r="I122" s="1"/>
      <c r="J122" s="1"/>
      <c r="K122" s="1"/>
      <c r="L122" s="1"/>
      <c r="M122" s="1"/>
      <c r="N122" s="1"/>
      <c r="O122" s="1"/>
    </row>
    <row r="123" spans="1:15">
      <c r="A123" s="1" t="s">
        <v>31</v>
      </c>
      <c r="B123" s="1"/>
      <c r="C123" s="1" t="s">
        <v>140</v>
      </c>
      <c r="D123" s="1"/>
      <c r="E123" s="1"/>
      <c r="F123" s="1"/>
      <c r="G123" s="1"/>
      <c r="H123" s="1"/>
      <c r="I123" s="1"/>
      <c r="J123" s="1"/>
      <c r="K123" s="1"/>
      <c r="L123" s="1"/>
      <c r="M123" s="1"/>
      <c r="N123" s="1"/>
      <c r="O123" s="1"/>
    </row>
    <row r="124" spans="1:15">
      <c r="A124" s="1" t="s">
        <v>31</v>
      </c>
      <c r="B124" s="1"/>
      <c r="C124" s="1" t="s">
        <v>141</v>
      </c>
      <c r="D124" s="1"/>
      <c r="E124" s="1"/>
      <c r="F124" s="1"/>
      <c r="G124" s="1"/>
      <c r="H124" s="1"/>
      <c r="I124" s="1"/>
      <c r="J124" s="1"/>
      <c r="K124" s="1"/>
      <c r="L124" s="1"/>
      <c r="M124" s="1"/>
      <c r="N124" s="1"/>
      <c r="O124" s="1"/>
    </row>
    <row r="125" spans="1:15">
      <c r="A125" s="1" t="s">
        <v>31</v>
      </c>
      <c r="B125" s="1"/>
      <c r="C125" s="1" t="s">
        <v>142</v>
      </c>
      <c r="D125" s="1"/>
      <c r="E125" s="1"/>
      <c r="F125" s="1"/>
      <c r="G125" s="1"/>
      <c r="H125" s="1"/>
      <c r="I125" s="1"/>
      <c r="J125" s="1"/>
      <c r="K125" s="1"/>
      <c r="L125" s="1"/>
      <c r="M125" s="1"/>
      <c r="N125" s="1"/>
      <c r="O125" s="1"/>
    </row>
    <row r="126" spans="1:15">
      <c r="A126" s="1" t="s">
        <v>31</v>
      </c>
      <c r="B126" s="1"/>
      <c r="C126" s="1" t="s">
        <v>143</v>
      </c>
      <c r="D126" s="1"/>
      <c r="E126" s="1"/>
      <c r="F126" s="1"/>
      <c r="G126" s="1"/>
      <c r="H126" s="1"/>
      <c r="I126" s="1"/>
      <c r="J126" s="1"/>
      <c r="K126" s="1"/>
      <c r="L126" s="1"/>
      <c r="M126" s="1"/>
      <c r="N126" s="1"/>
      <c r="O126" s="1"/>
    </row>
    <row r="127" spans="1:15">
      <c r="A127" s="1" t="s">
        <v>31</v>
      </c>
      <c r="B127" s="1"/>
      <c r="C127" s="1" t="s">
        <v>144</v>
      </c>
      <c r="D127" s="1"/>
      <c r="E127" s="1"/>
      <c r="F127" s="1"/>
      <c r="G127" s="1"/>
      <c r="H127" s="1"/>
      <c r="I127" s="1"/>
      <c r="J127" s="1"/>
      <c r="K127" s="1"/>
      <c r="L127" s="1"/>
      <c r="M127" s="1"/>
      <c r="N127" s="1"/>
      <c r="O127" s="1"/>
    </row>
    <row r="128" spans="1:15">
      <c r="A128" s="1" t="s">
        <v>31</v>
      </c>
      <c r="B128" s="1"/>
      <c r="C128" s="1" t="s">
        <v>145</v>
      </c>
      <c r="D128" s="1"/>
      <c r="E128" s="1"/>
      <c r="F128" s="1"/>
      <c r="G128" s="1"/>
      <c r="H128" s="1"/>
      <c r="I128" s="1"/>
      <c r="J128" s="1"/>
      <c r="K128" s="1"/>
      <c r="L128" s="1"/>
      <c r="M128" s="1"/>
      <c r="N128" s="1"/>
      <c r="O128" s="1"/>
    </row>
    <row r="129" spans="1:15">
      <c r="A129" s="1" t="s">
        <v>31</v>
      </c>
      <c r="B129" s="1"/>
      <c r="C129" s="1" t="s">
        <v>146</v>
      </c>
      <c r="D129" s="1"/>
      <c r="E129" s="1"/>
      <c r="F129" s="1"/>
      <c r="G129" s="1"/>
      <c r="H129" s="1"/>
      <c r="I129" s="1"/>
      <c r="J129" s="1"/>
      <c r="K129" s="1"/>
      <c r="L129" s="1"/>
      <c r="M129" s="1"/>
      <c r="N129" s="1"/>
      <c r="O129" s="1"/>
    </row>
    <row r="130" spans="1:15">
      <c r="A130" s="1" t="s">
        <v>31</v>
      </c>
      <c r="B130" s="1"/>
      <c r="C130" s="1" t="s">
        <v>147</v>
      </c>
      <c r="D130" s="1"/>
      <c r="E130" s="1"/>
      <c r="F130" s="1"/>
      <c r="G130" s="1"/>
      <c r="H130" s="1"/>
      <c r="I130" s="1"/>
      <c r="J130" s="1"/>
      <c r="K130" s="1"/>
      <c r="L130" s="1"/>
      <c r="M130" s="1"/>
      <c r="N130" s="1"/>
      <c r="O130" s="1"/>
    </row>
    <row r="131" spans="1:15">
      <c r="A131" s="2" t="s">
        <v>64</v>
      </c>
      <c r="B131" s="2"/>
      <c r="C131" s="2" t="s">
        <v>148</v>
      </c>
      <c r="D131" s="1"/>
      <c r="E131" s="1"/>
      <c r="F131" s="1"/>
      <c r="G131" s="1"/>
      <c r="H131" s="1"/>
      <c r="I131" s="1"/>
      <c r="J131" s="1"/>
      <c r="K131" s="1"/>
      <c r="L131" s="1"/>
      <c r="M131" s="1"/>
      <c r="N131" s="1"/>
      <c r="O131" s="1"/>
    </row>
    <row r="132" spans="1:15">
      <c r="A132" s="2" t="s">
        <v>64</v>
      </c>
      <c r="B132" s="2"/>
      <c r="C132" s="2" t="s">
        <v>149</v>
      </c>
      <c r="D132" s="1"/>
      <c r="E132" s="1"/>
      <c r="F132" s="1"/>
      <c r="G132" s="1"/>
      <c r="H132" s="1"/>
      <c r="I132" s="1"/>
      <c r="J132" s="1"/>
      <c r="K132" s="1"/>
      <c r="L132" s="1"/>
      <c r="M132" s="1"/>
      <c r="N132" s="1"/>
      <c r="O132" s="1"/>
    </row>
    <row r="133" spans="1:15">
      <c r="A133" s="2" t="s">
        <v>64</v>
      </c>
      <c r="B133" s="2"/>
      <c r="C133" s="2" t="s">
        <v>31</v>
      </c>
      <c r="D133" s="1"/>
      <c r="E133" s="1"/>
      <c r="F133" s="1"/>
      <c r="G133" s="1"/>
      <c r="H133" s="1"/>
      <c r="I133" s="1"/>
      <c r="J133" s="1"/>
      <c r="K133" s="1"/>
      <c r="L133" s="1"/>
      <c r="M133" s="1"/>
      <c r="N133" s="1"/>
      <c r="O133" s="1"/>
    </row>
    <row r="134" spans="1:15">
      <c r="A134" s="1" t="s">
        <v>53</v>
      </c>
      <c r="B134" s="1"/>
      <c r="C134" s="1" t="s">
        <v>150</v>
      </c>
      <c r="D134" s="1"/>
      <c r="E134" s="1"/>
      <c r="F134" s="1"/>
      <c r="G134" s="1"/>
      <c r="H134" s="1"/>
      <c r="I134" s="1"/>
      <c r="J134" s="1"/>
      <c r="K134" s="1"/>
      <c r="L134" s="1"/>
      <c r="M134" s="1"/>
      <c r="N134" s="1"/>
      <c r="O134" s="1"/>
    </row>
    <row r="135" spans="1:15">
      <c r="A135" s="1" t="s">
        <v>53</v>
      </c>
      <c r="B135" s="1"/>
      <c r="C135" s="1" t="s">
        <v>151</v>
      </c>
      <c r="D135" s="1"/>
      <c r="E135" s="1"/>
      <c r="F135" s="1"/>
      <c r="G135" s="1"/>
      <c r="H135" s="1"/>
      <c r="I135" s="1"/>
      <c r="J135" s="1"/>
      <c r="K135" s="1"/>
      <c r="L135" s="1"/>
      <c r="M135" s="1"/>
      <c r="N135" s="1"/>
      <c r="O135" s="1"/>
    </row>
    <row r="136" spans="1:15">
      <c r="A136" s="1" t="s">
        <v>53</v>
      </c>
      <c r="B136" s="1"/>
      <c r="C136" s="1" t="s">
        <v>152</v>
      </c>
      <c r="D136" s="1"/>
      <c r="E136" s="1"/>
      <c r="F136" s="1"/>
      <c r="G136" s="1"/>
      <c r="H136" s="1"/>
      <c r="I136" s="1"/>
      <c r="J136" s="1"/>
      <c r="K136" s="1"/>
      <c r="L136" s="1"/>
      <c r="M136" s="1"/>
      <c r="N136" s="1"/>
      <c r="O136" s="1"/>
    </row>
    <row r="137" spans="1:15">
      <c r="A137" s="1" t="s">
        <v>53</v>
      </c>
      <c r="B137" s="1"/>
      <c r="C137" s="1" t="s">
        <v>148</v>
      </c>
      <c r="D137" s="1"/>
      <c r="E137" s="1"/>
      <c r="F137" s="1"/>
      <c r="G137" s="1"/>
      <c r="H137" s="1"/>
      <c r="I137" s="1"/>
      <c r="J137" s="1"/>
      <c r="K137" s="1"/>
      <c r="L137" s="1"/>
      <c r="M137" s="1"/>
      <c r="N137" s="1"/>
      <c r="O137" s="1"/>
    </row>
    <row r="138" spans="1:15">
      <c r="A138" s="1" t="s">
        <v>53</v>
      </c>
      <c r="B138" s="1"/>
      <c r="C138" s="1" t="s">
        <v>153</v>
      </c>
      <c r="D138" s="1"/>
      <c r="E138" s="1"/>
      <c r="F138" s="1"/>
      <c r="G138" s="1"/>
      <c r="H138" s="1"/>
      <c r="I138" s="1"/>
      <c r="J138" s="1"/>
      <c r="K138" s="1"/>
      <c r="L138" s="1"/>
      <c r="M138" s="1"/>
      <c r="N138" s="1"/>
      <c r="O138" s="1"/>
    </row>
    <row r="139" spans="1:15">
      <c r="A139" s="1" t="s">
        <v>53</v>
      </c>
      <c r="B139" s="1"/>
      <c r="C139" s="1" t="s">
        <v>154</v>
      </c>
      <c r="D139" s="1"/>
      <c r="E139" s="1"/>
      <c r="F139" s="1"/>
      <c r="G139" s="1"/>
      <c r="H139" s="1"/>
      <c r="I139" s="1"/>
      <c r="J139" s="1"/>
      <c r="K139" s="1"/>
      <c r="L139" s="1"/>
      <c r="M139" s="1"/>
      <c r="N139" s="1"/>
      <c r="O139" s="1"/>
    </row>
  </sheetData>
  <autoFilter ref="A1:O1" xr:uid="{A0AC2BD6-9BE2-45DF-91F7-795E89B06557}">
    <filterColumn colId="3">
      <filters>
        <filter val="Banco de Dados"/>
      </filters>
    </filterColumn>
  </autoFilter>
  <pageMargins left="0.511811024" right="0.511811024" top="0.78740157499999996" bottom="0.78740157499999996" header="0.31496062000000002" footer="0.31496062000000002"/>
  <headerFooter>
    <oddFooter>&amp;L_x000D_&amp;1#&amp;"Calibri"&amp;7&amp;K000000 ***Este documento está clasificado como USO INTERNO por TELEFÓNICA.
***This document is classified as INTERNAL USE by TELEFÓNICA.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9FDAA-3FCD-4D28-ADF5-46029975DFC1}">
  <dimension ref="A1:M162"/>
  <sheetViews>
    <sheetView topLeftCell="H1" zoomScale="85" zoomScaleNormal="85" workbookViewId="0">
      <pane ySplit="1" topLeftCell="A2" activePane="bottomLeft" state="frozen"/>
      <selection pane="bottomLeft" activeCell="N1" sqref="N1"/>
    </sheetView>
  </sheetViews>
  <sheetFormatPr defaultColWidth="8.85546875" defaultRowHeight="14.45"/>
  <cols>
    <col min="1" max="1" width="23" bestFit="1" customWidth="1"/>
    <col min="2" max="2" width="23" customWidth="1"/>
    <col min="3" max="3" width="67.42578125" bestFit="1" customWidth="1"/>
    <col min="4" max="4" width="25.7109375" bestFit="1" customWidth="1"/>
    <col min="5" max="5" width="47.42578125" bestFit="1" customWidth="1"/>
    <col min="6" max="6" width="60.42578125" bestFit="1" customWidth="1"/>
    <col min="7" max="7" width="24.7109375" bestFit="1" customWidth="1"/>
    <col min="8" max="8" width="26.28515625" bestFit="1" customWidth="1"/>
    <col min="9" max="9" width="22.28515625" bestFit="1" customWidth="1"/>
    <col min="10" max="10" width="22.85546875" bestFit="1" customWidth="1"/>
    <col min="11" max="11" width="22.7109375" bestFit="1" customWidth="1"/>
    <col min="12" max="12" width="35.28515625" bestFit="1" customWidth="1"/>
    <col min="13" max="13" width="37.42578125" bestFit="1" customWidth="1"/>
  </cols>
  <sheetData>
    <row r="1" spans="1:13">
      <c r="A1" s="1" t="s">
        <v>39</v>
      </c>
      <c r="B1" s="1" t="s">
        <v>40</v>
      </c>
      <c r="C1" s="1" t="s">
        <v>41</v>
      </c>
      <c r="D1" s="1" t="s">
        <v>1</v>
      </c>
      <c r="E1" s="1" t="s">
        <v>42</v>
      </c>
      <c r="F1" s="1" t="s">
        <v>155</v>
      </c>
      <c r="G1" s="1" t="s">
        <v>45</v>
      </c>
      <c r="H1" s="1" t="s">
        <v>46</v>
      </c>
      <c r="I1" s="1" t="s">
        <v>47</v>
      </c>
      <c r="J1" s="1" t="s">
        <v>48</v>
      </c>
      <c r="K1" s="1" t="s">
        <v>49</v>
      </c>
      <c r="L1" s="1" t="s">
        <v>51</v>
      </c>
      <c r="M1" s="1" t="s">
        <v>52</v>
      </c>
    </row>
    <row r="2" spans="1:13">
      <c r="A2" s="1" t="s">
        <v>149</v>
      </c>
      <c r="B2" s="1" t="s">
        <v>31</v>
      </c>
      <c r="C2" s="1" t="s">
        <v>102</v>
      </c>
      <c r="D2" s="1" t="s">
        <v>156</v>
      </c>
      <c r="E2" s="1" t="s">
        <v>157</v>
      </c>
      <c r="F2" s="1" t="s">
        <v>158</v>
      </c>
      <c r="G2" s="1" t="s">
        <v>159</v>
      </c>
      <c r="H2" s="1" t="s">
        <v>160</v>
      </c>
      <c r="I2" s="1" t="s">
        <v>160</v>
      </c>
      <c r="J2" s="1" t="s">
        <v>160</v>
      </c>
      <c r="K2" s="1" t="s">
        <v>160</v>
      </c>
      <c r="L2" s="1" t="s">
        <v>161</v>
      </c>
      <c r="M2" s="1" t="s">
        <v>162</v>
      </c>
    </row>
    <row r="3" spans="1:13" ht="14.25" customHeight="1">
      <c r="A3" s="1" t="s">
        <v>149</v>
      </c>
      <c r="B3" s="1"/>
      <c r="C3" s="1" t="s">
        <v>153</v>
      </c>
      <c r="D3" s="1" t="s">
        <v>156</v>
      </c>
      <c r="E3" s="1"/>
      <c r="F3" s="1" t="s">
        <v>163</v>
      </c>
      <c r="G3" s="1" t="s">
        <v>164</v>
      </c>
      <c r="H3" s="1" t="s">
        <v>160</v>
      </c>
      <c r="I3" s="1" t="s">
        <v>160</v>
      </c>
      <c r="J3" s="1" t="s">
        <v>165</v>
      </c>
      <c r="K3" s="1" t="s">
        <v>165</v>
      </c>
      <c r="L3" s="1"/>
      <c r="M3" s="1"/>
    </row>
    <row r="4" spans="1:13" ht="14.25" customHeight="1">
      <c r="A4" s="1" t="s">
        <v>149</v>
      </c>
      <c r="B4" s="1"/>
      <c r="C4" s="1" t="s">
        <v>153</v>
      </c>
      <c r="D4" s="1" t="s">
        <v>156</v>
      </c>
      <c r="E4" s="1"/>
      <c r="F4" s="1" t="s">
        <v>166</v>
      </c>
      <c r="G4" s="1" t="s">
        <v>164</v>
      </c>
      <c r="H4" s="1" t="s">
        <v>160</v>
      </c>
      <c r="I4" s="1" t="s">
        <v>160</v>
      </c>
      <c r="J4" s="1" t="s">
        <v>165</v>
      </c>
      <c r="K4" s="1" t="s">
        <v>165</v>
      </c>
      <c r="L4" s="1"/>
      <c r="M4" s="1"/>
    </row>
    <row r="5" spans="1:13" ht="14.25" customHeight="1">
      <c r="A5" s="1" t="s">
        <v>149</v>
      </c>
      <c r="B5" s="1"/>
      <c r="C5" s="1" t="s">
        <v>153</v>
      </c>
      <c r="D5" s="1" t="s">
        <v>156</v>
      </c>
      <c r="E5" s="1"/>
      <c r="F5" s="1" t="s">
        <v>167</v>
      </c>
      <c r="G5" s="1" t="s">
        <v>164</v>
      </c>
      <c r="H5" s="1" t="s">
        <v>160</v>
      </c>
      <c r="I5" s="1" t="s">
        <v>160</v>
      </c>
      <c r="J5" s="1" t="s">
        <v>165</v>
      </c>
      <c r="K5" s="1" t="s">
        <v>165</v>
      </c>
      <c r="L5" s="1"/>
      <c r="M5" s="1"/>
    </row>
    <row r="6" spans="1:13" ht="14.25" customHeight="1">
      <c r="A6" s="1" t="s">
        <v>149</v>
      </c>
      <c r="B6" s="1"/>
      <c r="C6" s="1" t="s">
        <v>153</v>
      </c>
      <c r="D6" s="1" t="s">
        <v>156</v>
      </c>
      <c r="E6" s="1"/>
      <c r="F6" s="1" t="s">
        <v>168</v>
      </c>
      <c r="G6" s="1" t="s">
        <v>164</v>
      </c>
      <c r="H6" s="1" t="s">
        <v>160</v>
      </c>
      <c r="I6" s="1" t="s">
        <v>160</v>
      </c>
      <c r="J6" s="1" t="s">
        <v>165</v>
      </c>
      <c r="K6" s="1" t="s">
        <v>165</v>
      </c>
      <c r="L6" s="1"/>
      <c r="M6" s="1"/>
    </row>
    <row r="7" spans="1:13" ht="14.25" customHeight="1">
      <c r="A7" s="1" t="s">
        <v>149</v>
      </c>
      <c r="B7" s="1"/>
      <c r="C7" s="1" t="s">
        <v>153</v>
      </c>
      <c r="D7" s="1" t="s">
        <v>156</v>
      </c>
      <c r="E7" s="1"/>
      <c r="F7" s="1" t="s">
        <v>169</v>
      </c>
      <c r="G7" s="1" t="s">
        <v>164</v>
      </c>
      <c r="H7" s="1" t="s">
        <v>160</v>
      </c>
      <c r="I7" s="1" t="s">
        <v>160</v>
      </c>
      <c r="J7" s="1" t="s">
        <v>165</v>
      </c>
      <c r="K7" s="1" t="s">
        <v>165</v>
      </c>
      <c r="L7" s="1"/>
      <c r="M7" s="1"/>
    </row>
    <row r="8" spans="1:13" ht="14.25" customHeight="1">
      <c r="A8" s="1" t="s">
        <v>149</v>
      </c>
      <c r="B8" s="1"/>
      <c r="C8" s="1" t="s">
        <v>153</v>
      </c>
      <c r="D8" s="1" t="s">
        <v>156</v>
      </c>
      <c r="E8" s="1"/>
      <c r="F8" s="1" t="s">
        <v>167</v>
      </c>
      <c r="G8" s="1" t="s">
        <v>164</v>
      </c>
      <c r="H8" s="1" t="s">
        <v>160</v>
      </c>
      <c r="I8" s="1" t="s">
        <v>160</v>
      </c>
      <c r="J8" s="1" t="s">
        <v>165</v>
      </c>
      <c r="K8" s="1" t="s">
        <v>165</v>
      </c>
      <c r="L8" s="1"/>
      <c r="M8" s="1"/>
    </row>
    <row r="9" spans="1:13" ht="14.25" customHeight="1">
      <c r="A9" s="1" t="s">
        <v>149</v>
      </c>
      <c r="B9" s="1"/>
      <c r="C9" s="1" t="s">
        <v>153</v>
      </c>
      <c r="D9" s="1" t="s">
        <v>156</v>
      </c>
      <c r="E9" s="1"/>
      <c r="F9" s="1" t="s">
        <v>168</v>
      </c>
      <c r="G9" s="1" t="s">
        <v>164</v>
      </c>
      <c r="H9" s="1" t="s">
        <v>160</v>
      </c>
      <c r="I9" s="1" t="s">
        <v>160</v>
      </c>
      <c r="J9" s="1" t="s">
        <v>165</v>
      </c>
      <c r="K9" s="1" t="s">
        <v>165</v>
      </c>
      <c r="L9" s="1"/>
      <c r="M9" s="1"/>
    </row>
    <row r="10" spans="1:13" ht="14.25" customHeight="1">
      <c r="A10" s="1" t="s">
        <v>149</v>
      </c>
      <c r="B10" s="1"/>
      <c r="C10" s="1" t="s">
        <v>153</v>
      </c>
      <c r="D10" s="1" t="s">
        <v>156</v>
      </c>
      <c r="E10" s="1"/>
      <c r="F10" s="1" t="s">
        <v>169</v>
      </c>
      <c r="G10" s="1" t="s">
        <v>164</v>
      </c>
      <c r="H10" s="1"/>
      <c r="I10" s="1"/>
      <c r="J10" s="1"/>
      <c r="K10" s="1"/>
      <c r="L10" s="1"/>
      <c r="M10" s="1"/>
    </row>
    <row r="11" spans="1:13" ht="14.25" customHeight="1">
      <c r="A11" s="1" t="s">
        <v>149</v>
      </c>
      <c r="B11" s="1"/>
      <c r="C11" s="1" t="s">
        <v>153</v>
      </c>
      <c r="D11" s="1" t="s">
        <v>156</v>
      </c>
      <c r="E11" s="1"/>
      <c r="F11" s="1" t="s">
        <v>170</v>
      </c>
      <c r="G11" s="1" t="s">
        <v>164</v>
      </c>
      <c r="H11" s="1"/>
      <c r="I11" s="1"/>
      <c r="J11" s="1"/>
      <c r="K11" s="1"/>
      <c r="L11" s="1"/>
      <c r="M11" s="1"/>
    </row>
    <row r="12" spans="1:13" ht="14.25" customHeight="1">
      <c r="A12" s="1" t="s">
        <v>149</v>
      </c>
      <c r="B12" s="1"/>
      <c r="C12" s="1" t="s">
        <v>153</v>
      </c>
      <c r="D12" s="1" t="s">
        <v>156</v>
      </c>
      <c r="E12" s="1"/>
      <c r="F12" s="1" t="s">
        <v>170</v>
      </c>
      <c r="G12" s="1" t="s">
        <v>164</v>
      </c>
      <c r="H12" s="1"/>
      <c r="I12" s="1"/>
      <c r="J12" s="1"/>
      <c r="K12" s="1"/>
      <c r="L12" s="1"/>
      <c r="M12" s="1"/>
    </row>
    <row r="13" spans="1:13" ht="14.25" customHeight="1">
      <c r="A13" s="1" t="s">
        <v>149</v>
      </c>
      <c r="B13" s="1"/>
      <c r="C13" s="1" t="s">
        <v>153</v>
      </c>
      <c r="D13" s="1" t="s">
        <v>156</v>
      </c>
      <c r="E13" s="1"/>
      <c r="F13" s="1" t="s">
        <v>169</v>
      </c>
      <c r="G13" s="1" t="s">
        <v>164</v>
      </c>
      <c r="H13" s="1"/>
      <c r="I13" s="1"/>
      <c r="J13" s="1"/>
      <c r="K13" s="1"/>
      <c r="L13" s="1"/>
      <c r="M13" s="1"/>
    </row>
    <row r="14" spans="1:13" ht="14.25" customHeight="1">
      <c r="A14" s="1" t="s">
        <v>149</v>
      </c>
      <c r="B14" s="1"/>
      <c r="C14" s="1" t="s">
        <v>153</v>
      </c>
      <c r="D14" s="1" t="s">
        <v>156</v>
      </c>
      <c r="E14" s="1"/>
      <c r="F14" s="1" t="s">
        <v>171</v>
      </c>
      <c r="G14" s="1" t="s">
        <v>164</v>
      </c>
      <c r="H14" s="1"/>
      <c r="I14" s="1"/>
      <c r="J14" s="1"/>
      <c r="K14" s="1"/>
      <c r="L14" s="1"/>
      <c r="M14" s="1"/>
    </row>
    <row r="15" spans="1:13" ht="14.25" customHeight="1">
      <c r="A15" s="1" t="s">
        <v>149</v>
      </c>
      <c r="B15" s="1"/>
      <c r="C15" s="1" t="s">
        <v>153</v>
      </c>
      <c r="D15" s="1" t="s">
        <v>156</v>
      </c>
      <c r="E15" s="1"/>
      <c r="F15" s="1" t="s">
        <v>170</v>
      </c>
      <c r="G15" s="1" t="s">
        <v>164</v>
      </c>
      <c r="H15" s="1"/>
      <c r="I15" s="1"/>
      <c r="J15" s="1"/>
      <c r="K15" s="1"/>
      <c r="L15" s="1"/>
      <c r="M15" s="1"/>
    </row>
    <row r="16" spans="1:13" ht="14.25" customHeight="1">
      <c r="A16" s="1" t="s">
        <v>149</v>
      </c>
      <c r="B16" s="1"/>
      <c r="C16" s="1" t="s">
        <v>153</v>
      </c>
      <c r="D16" s="1" t="s">
        <v>156</v>
      </c>
      <c r="E16" s="1"/>
      <c r="F16" s="1" t="s">
        <v>169</v>
      </c>
      <c r="G16" s="1" t="s">
        <v>164</v>
      </c>
      <c r="H16" s="1"/>
      <c r="I16" s="1"/>
      <c r="J16" s="1"/>
      <c r="K16" s="1"/>
      <c r="L16" s="1"/>
      <c r="M16" s="1"/>
    </row>
    <row r="17" spans="1:13" ht="14.25" customHeight="1">
      <c r="A17" s="1" t="s">
        <v>149</v>
      </c>
      <c r="B17" s="1"/>
      <c r="C17" s="1" t="s">
        <v>153</v>
      </c>
      <c r="D17" s="1" t="s">
        <v>156</v>
      </c>
      <c r="E17" s="1"/>
      <c r="F17" s="1" t="s">
        <v>172</v>
      </c>
      <c r="G17" s="1" t="s">
        <v>164</v>
      </c>
      <c r="H17" s="1"/>
      <c r="I17" s="1"/>
      <c r="J17" s="1"/>
      <c r="K17" s="1"/>
      <c r="L17" s="1"/>
      <c r="M17" s="1"/>
    </row>
    <row r="18" spans="1:13" ht="14.25" customHeight="1">
      <c r="A18" s="1" t="s">
        <v>149</v>
      </c>
      <c r="B18" s="1"/>
      <c r="C18" s="1" t="s">
        <v>153</v>
      </c>
      <c r="D18" s="1" t="s">
        <v>156</v>
      </c>
      <c r="E18" s="1"/>
      <c r="F18" s="1" t="s">
        <v>166</v>
      </c>
      <c r="G18" s="1" t="s">
        <v>164</v>
      </c>
      <c r="H18" s="1"/>
      <c r="I18" s="1"/>
      <c r="J18" s="1"/>
      <c r="K18" s="1"/>
      <c r="L18" s="1"/>
      <c r="M18" s="1"/>
    </row>
    <row r="19" spans="1:13">
      <c r="A19" s="1" t="s">
        <v>149</v>
      </c>
      <c r="B19" s="1"/>
      <c r="C19" s="1" t="s">
        <v>173</v>
      </c>
      <c r="D19" s="1" t="s">
        <v>156</v>
      </c>
      <c r="E19" s="1"/>
      <c r="F19" s="1" t="s">
        <v>174</v>
      </c>
      <c r="G19" s="1"/>
      <c r="H19" s="1"/>
      <c r="I19" s="1"/>
      <c r="J19" s="1"/>
      <c r="K19" s="1"/>
      <c r="L19" s="1"/>
      <c r="M19" s="1"/>
    </row>
    <row r="20" spans="1:13">
      <c r="A20" s="1" t="s">
        <v>149</v>
      </c>
      <c r="B20" s="1"/>
      <c r="C20" s="1" t="s">
        <v>173</v>
      </c>
      <c r="D20" s="1" t="s">
        <v>175</v>
      </c>
      <c r="E20" s="1"/>
      <c r="F20" s="1" t="s">
        <v>176</v>
      </c>
      <c r="G20" s="1"/>
      <c r="H20" s="1"/>
      <c r="I20" s="1"/>
      <c r="J20" s="1"/>
      <c r="K20" s="1"/>
      <c r="L20" s="1"/>
      <c r="M20" s="1"/>
    </row>
    <row r="21" spans="1:13">
      <c r="A21" s="1" t="s">
        <v>149</v>
      </c>
      <c r="B21" s="1"/>
      <c r="C21" s="1" t="s">
        <v>177</v>
      </c>
      <c r="D21" s="1" t="s">
        <v>178</v>
      </c>
      <c r="E21" s="1"/>
      <c r="F21" s="1"/>
      <c r="G21" s="1"/>
      <c r="H21" s="1"/>
      <c r="I21" s="1"/>
      <c r="J21" s="1"/>
      <c r="K21" s="1"/>
      <c r="L21" s="1"/>
      <c r="M21" s="1"/>
    </row>
    <row r="22" spans="1:13">
      <c r="A22" s="1" t="s">
        <v>149</v>
      </c>
      <c r="B22" s="1"/>
      <c r="C22" s="1" t="s">
        <v>179</v>
      </c>
      <c r="D22" s="1" t="s">
        <v>180</v>
      </c>
      <c r="E22" s="1"/>
      <c r="F22" s="1"/>
      <c r="G22" s="1"/>
      <c r="H22" s="1"/>
      <c r="I22" s="1"/>
      <c r="J22" s="1"/>
      <c r="K22" s="1"/>
      <c r="L22" s="1"/>
      <c r="M22" s="1"/>
    </row>
    <row r="23" spans="1:13">
      <c r="A23" s="1" t="s">
        <v>149</v>
      </c>
      <c r="B23" s="1"/>
      <c r="C23" s="1" t="s">
        <v>143</v>
      </c>
      <c r="D23" s="1" t="s">
        <v>181</v>
      </c>
      <c r="E23" s="1"/>
      <c r="F23" s="1"/>
      <c r="G23" s="1"/>
      <c r="H23" s="1"/>
      <c r="I23" s="1"/>
      <c r="J23" s="1"/>
      <c r="K23" s="1"/>
      <c r="L23" s="1"/>
      <c r="M23" s="1"/>
    </row>
    <row r="24" spans="1:13">
      <c r="A24" s="1" t="s">
        <v>149</v>
      </c>
      <c r="B24" s="1"/>
      <c r="C24" s="1" t="s">
        <v>182</v>
      </c>
      <c r="D24" s="1" t="s">
        <v>183</v>
      </c>
      <c r="E24" s="1"/>
      <c r="F24" s="1"/>
      <c r="G24" s="1"/>
      <c r="H24" s="1"/>
      <c r="I24" s="1"/>
      <c r="J24" s="1"/>
      <c r="K24" s="1"/>
      <c r="L24" s="1"/>
      <c r="M24" s="1"/>
    </row>
    <row r="25" spans="1:13">
      <c r="A25" s="1" t="s">
        <v>149</v>
      </c>
      <c r="B25" s="1"/>
      <c r="C25" s="1" t="s">
        <v>184</v>
      </c>
      <c r="D25" s="1" t="s">
        <v>185</v>
      </c>
      <c r="E25" s="1"/>
      <c r="F25" s="1"/>
      <c r="G25" s="1"/>
      <c r="H25" s="1"/>
      <c r="I25" s="1"/>
      <c r="J25" s="1"/>
      <c r="K25" s="1"/>
      <c r="L25" s="1"/>
      <c r="M25" s="1"/>
    </row>
    <row r="26" spans="1:13">
      <c r="A26" s="1" t="s">
        <v>149</v>
      </c>
      <c r="B26" s="1"/>
      <c r="C26" s="1" t="s">
        <v>186</v>
      </c>
      <c r="D26" s="1" t="s">
        <v>187</v>
      </c>
      <c r="E26" s="1"/>
      <c r="F26" s="1"/>
      <c r="G26" s="1"/>
      <c r="H26" s="1"/>
      <c r="I26" s="1"/>
      <c r="J26" s="1"/>
      <c r="K26" s="1"/>
      <c r="L26" s="1"/>
      <c r="M26" s="1"/>
    </row>
    <row r="27" spans="1:13">
      <c r="A27" s="1" t="s">
        <v>149</v>
      </c>
      <c r="B27" s="1"/>
      <c r="C27" s="1" t="s">
        <v>188</v>
      </c>
      <c r="D27" s="1" t="s">
        <v>189</v>
      </c>
      <c r="E27" s="1"/>
      <c r="F27" s="1"/>
      <c r="G27" s="1"/>
      <c r="H27" s="1"/>
      <c r="I27" s="1"/>
      <c r="J27" s="1"/>
      <c r="K27" s="1"/>
      <c r="L27" s="1"/>
      <c r="M27" s="1"/>
    </row>
    <row r="28" spans="1:13">
      <c r="A28" s="1" t="s">
        <v>149</v>
      </c>
      <c r="B28" s="1"/>
      <c r="C28" s="1" t="s">
        <v>190</v>
      </c>
      <c r="D28" s="1" t="s">
        <v>191</v>
      </c>
      <c r="E28" s="1"/>
      <c r="F28" s="1"/>
      <c r="G28" s="1"/>
      <c r="H28" s="1"/>
      <c r="I28" s="1"/>
      <c r="J28" s="1"/>
      <c r="K28" s="1"/>
      <c r="L28" s="1"/>
      <c r="M28" s="1"/>
    </row>
    <row r="29" spans="1:13">
      <c r="A29" s="1" t="s">
        <v>149</v>
      </c>
      <c r="B29" s="1"/>
      <c r="C29" s="1" t="s">
        <v>192</v>
      </c>
      <c r="D29" s="1" t="s">
        <v>193</v>
      </c>
      <c r="E29" s="1"/>
      <c r="F29" s="1"/>
      <c r="G29" s="1"/>
      <c r="H29" s="1"/>
      <c r="I29" s="1"/>
      <c r="J29" s="1"/>
      <c r="K29" s="1"/>
      <c r="L29" s="1"/>
      <c r="M29" s="1"/>
    </row>
    <row r="30" spans="1:13">
      <c r="A30" s="1" t="s">
        <v>149</v>
      </c>
      <c r="B30" s="1"/>
      <c r="C30" s="1" t="s">
        <v>194</v>
      </c>
      <c r="D30" s="1" t="s">
        <v>195</v>
      </c>
      <c r="E30" s="1"/>
      <c r="F30" s="1"/>
      <c r="G30" s="1"/>
      <c r="H30" s="1"/>
      <c r="I30" s="1"/>
      <c r="J30" s="1"/>
      <c r="K30" s="1"/>
      <c r="L30" s="1"/>
      <c r="M30" s="1"/>
    </row>
    <row r="31" spans="1:13">
      <c r="A31" s="1" t="s">
        <v>149</v>
      </c>
      <c r="B31" s="1"/>
      <c r="C31" s="1" t="s">
        <v>196</v>
      </c>
      <c r="D31" s="1" t="s">
        <v>197</v>
      </c>
      <c r="E31" s="1"/>
      <c r="F31" s="1"/>
      <c r="G31" s="1"/>
      <c r="H31" s="1"/>
      <c r="I31" s="1"/>
      <c r="J31" s="1"/>
      <c r="K31" s="1"/>
      <c r="L31" s="1"/>
      <c r="M31" s="1"/>
    </row>
    <row r="32" spans="1:13">
      <c r="A32" s="1"/>
      <c r="B32" s="1"/>
      <c r="C32" s="1"/>
      <c r="D32" s="1" t="s">
        <v>198</v>
      </c>
      <c r="E32" s="1"/>
      <c r="F32" s="1"/>
      <c r="G32" s="1"/>
      <c r="H32" s="1"/>
      <c r="I32" s="1"/>
      <c r="J32" s="1"/>
      <c r="K32" s="1"/>
      <c r="L32" s="1"/>
      <c r="M32" s="1"/>
    </row>
    <row r="33" spans="1:13">
      <c r="A33" s="1"/>
      <c r="B33" s="1"/>
      <c r="C33" s="1" t="s">
        <v>25</v>
      </c>
      <c r="D33" s="1" t="s">
        <v>120</v>
      </c>
      <c r="E33" s="4" t="s">
        <v>199</v>
      </c>
      <c r="F33" s="4" t="s">
        <v>121</v>
      </c>
      <c r="G33" s="1"/>
      <c r="H33" s="1"/>
      <c r="I33" s="1"/>
      <c r="J33" s="1"/>
      <c r="K33" s="1"/>
      <c r="L33" s="1"/>
      <c r="M33" s="1"/>
    </row>
    <row r="34" spans="1:13">
      <c r="A34" s="1"/>
      <c r="B34" s="1"/>
      <c r="C34" s="1" t="s">
        <v>200</v>
      </c>
      <c r="D34" s="1" t="s">
        <v>120</v>
      </c>
      <c r="E34" s="4" t="s">
        <v>201</v>
      </c>
      <c r="F34" s="4" t="s">
        <v>117</v>
      </c>
      <c r="G34" s="1"/>
      <c r="H34" s="1"/>
      <c r="I34" s="1"/>
      <c r="J34" s="1"/>
      <c r="K34" s="1"/>
      <c r="L34" s="1"/>
      <c r="M34" s="1"/>
    </row>
    <row r="35" spans="1:13">
      <c r="A35" s="1"/>
      <c r="B35" s="1"/>
      <c r="C35" s="1"/>
      <c r="D35" s="1" t="s">
        <v>120</v>
      </c>
      <c r="E35" s="4" t="s">
        <v>99</v>
      </c>
      <c r="F35" s="4" t="s">
        <v>123</v>
      </c>
      <c r="G35" s="1"/>
      <c r="H35" s="1"/>
      <c r="I35" s="1"/>
      <c r="J35" s="1"/>
      <c r="K35" s="1"/>
      <c r="L35" s="1"/>
      <c r="M35" s="1"/>
    </row>
    <row r="36" spans="1:13">
      <c r="A36" s="1"/>
      <c r="B36" s="1"/>
      <c r="C36" s="1"/>
      <c r="D36" s="1" t="s">
        <v>120</v>
      </c>
      <c r="E36" s="4" t="s">
        <v>202</v>
      </c>
      <c r="F36" s="4" t="s">
        <v>124</v>
      </c>
      <c r="G36" s="1"/>
      <c r="H36" s="1"/>
      <c r="I36" s="1"/>
      <c r="J36" s="1"/>
      <c r="K36" s="1"/>
      <c r="L36" s="1"/>
      <c r="M36" s="1"/>
    </row>
    <row r="37" spans="1:13">
      <c r="A37" s="1"/>
      <c r="B37" s="1"/>
      <c r="C37" s="1" t="s">
        <v>200</v>
      </c>
      <c r="D37" s="1" t="s">
        <v>120</v>
      </c>
      <c r="E37" s="4" t="s">
        <v>201</v>
      </c>
      <c r="F37" s="4" t="s">
        <v>125</v>
      </c>
      <c r="G37" s="1"/>
      <c r="H37" s="1"/>
      <c r="I37" s="1"/>
      <c r="J37" s="1"/>
      <c r="K37" s="1"/>
      <c r="L37" s="1"/>
      <c r="M37" s="1"/>
    </row>
    <row r="38" spans="1:13">
      <c r="A38" s="1"/>
      <c r="B38" s="1"/>
      <c r="C38" s="1" t="s">
        <v>203</v>
      </c>
      <c r="D38" s="1" t="s">
        <v>120</v>
      </c>
      <c r="E38" s="4" t="s">
        <v>204</v>
      </c>
      <c r="F38" s="4" t="s">
        <v>126</v>
      </c>
      <c r="G38" s="1"/>
      <c r="H38" s="1"/>
      <c r="I38" s="1"/>
      <c r="J38" s="1"/>
      <c r="K38" s="1"/>
      <c r="L38" s="1"/>
      <c r="M38" s="1"/>
    </row>
    <row r="39" spans="1:13">
      <c r="A39" s="1"/>
      <c r="B39" s="1"/>
      <c r="C39" s="1" t="s">
        <v>203</v>
      </c>
      <c r="D39" s="1" t="s">
        <v>120</v>
      </c>
      <c r="E39" s="4" t="s">
        <v>204</v>
      </c>
      <c r="F39" s="4" t="s">
        <v>127</v>
      </c>
      <c r="G39" s="1"/>
      <c r="H39" s="1"/>
      <c r="I39" s="1"/>
      <c r="J39" s="1"/>
      <c r="K39" s="1"/>
      <c r="L39" s="1"/>
      <c r="M39" s="1"/>
    </row>
    <row r="40" spans="1:13">
      <c r="A40" s="1"/>
      <c r="B40" s="1"/>
      <c r="C40" s="1" t="s">
        <v>205</v>
      </c>
      <c r="D40" s="1" t="s">
        <v>120</v>
      </c>
      <c r="E40" s="4" t="s">
        <v>206</v>
      </c>
      <c r="F40" s="4" t="s">
        <v>128</v>
      </c>
      <c r="G40" s="1"/>
      <c r="H40" s="1"/>
      <c r="I40" s="1"/>
      <c r="J40" s="1"/>
      <c r="K40" s="1"/>
      <c r="L40" s="1"/>
      <c r="M40" s="1"/>
    </row>
    <row r="41" spans="1:13">
      <c r="A41" s="1"/>
      <c r="B41" s="1"/>
      <c r="C41" s="1"/>
      <c r="D41" s="1" t="s">
        <v>120</v>
      </c>
      <c r="E41" s="4" t="s">
        <v>207</v>
      </c>
      <c r="F41" s="4" t="s">
        <v>129</v>
      </c>
      <c r="G41" s="1"/>
      <c r="H41" s="1"/>
      <c r="I41" s="1"/>
      <c r="J41" s="1"/>
      <c r="K41" s="1"/>
      <c r="L41" s="1"/>
      <c r="M41" s="1"/>
    </row>
    <row r="42" spans="1:13">
      <c r="A42" s="1"/>
      <c r="B42" s="1"/>
      <c r="C42" s="1"/>
      <c r="D42" s="1" t="s">
        <v>120</v>
      </c>
      <c r="E42" s="4" t="s">
        <v>103</v>
      </c>
      <c r="F42" s="4" t="s">
        <v>130</v>
      </c>
      <c r="G42" s="1"/>
      <c r="H42" s="1"/>
      <c r="I42" s="1"/>
      <c r="J42" s="1"/>
      <c r="K42" s="1"/>
      <c r="L42" s="1"/>
      <c r="M42" s="1"/>
    </row>
    <row r="43" spans="1:13">
      <c r="A43" s="1"/>
      <c r="B43" s="1"/>
      <c r="C43" s="1" t="s">
        <v>208</v>
      </c>
      <c r="D43" s="1" t="s">
        <v>120</v>
      </c>
      <c r="E43" s="4" t="s">
        <v>99</v>
      </c>
      <c r="F43" s="4" t="s">
        <v>131</v>
      </c>
      <c r="G43" s="1"/>
      <c r="H43" s="1"/>
      <c r="I43" s="1"/>
      <c r="J43" s="1"/>
      <c r="K43" s="1"/>
      <c r="L43" s="1"/>
      <c r="M43" s="1"/>
    </row>
    <row r="44" spans="1:13">
      <c r="A44" s="1"/>
      <c r="B44" s="1"/>
      <c r="C44" s="1"/>
      <c r="D44" s="1" t="s">
        <v>120</v>
      </c>
      <c r="E44" s="4" t="s">
        <v>207</v>
      </c>
      <c r="F44" s="4" t="s">
        <v>132</v>
      </c>
      <c r="G44" s="1"/>
      <c r="H44" s="1"/>
      <c r="I44" s="1"/>
      <c r="J44" s="1"/>
      <c r="K44" s="1"/>
      <c r="L44" s="1"/>
      <c r="M44" s="1"/>
    </row>
    <row r="45" spans="1:13">
      <c r="A45" s="1"/>
      <c r="B45" s="1"/>
      <c r="C45" s="1"/>
      <c r="D45" s="1" t="s">
        <v>120</v>
      </c>
      <c r="E45" s="4" t="s">
        <v>202</v>
      </c>
      <c r="F45" s="4" t="s">
        <v>133</v>
      </c>
      <c r="G45" s="1"/>
      <c r="H45" s="1"/>
      <c r="I45" s="1"/>
      <c r="J45" s="1"/>
      <c r="K45" s="1"/>
      <c r="L45" s="1"/>
      <c r="M45" s="1"/>
    </row>
    <row r="46" spans="1:13">
      <c r="A46" s="1"/>
      <c r="B46" s="1"/>
      <c r="C46" s="1" t="s">
        <v>14</v>
      </c>
      <c r="D46" s="1" t="s">
        <v>120</v>
      </c>
      <c r="E46" s="4" t="s">
        <v>68</v>
      </c>
      <c r="F46" s="4" t="s">
        <v>134</v>
      </c>
      <c r="G46" s="1"/>
      <c r="H46" s="1"/>
      <c r="I46" s="1"/>
      <c r="J46" s="1"/>
      <c r="K46" s="1"/>
      <c r="L46" s="1"/>
      <c r="M46" s="1"/>
    </row>
    <row r="47" spans="1:13">
      <c r="A47" s="1"/>
      <c r="B47" s="1"/>
      <c r="C47" s="1" t="s">
        <v>14</v>
      </c>
      <c r="D47" s="1" t="s">
        <v>120</v>
      </c>
      <c r="E47" s="4" t="s">
        <v>68</v>
      </c>
      <c r="F47" s="4" t="s">
        <v>135</v>
      </c>
      <c r="G47" s="1"/>
      <c r="H47" s="1"/>
      <c r="I47" s="1"/>
      <c r="J47" s="1"/>
      <c r="K47" s="1"/>
      <c r="L47" s="1"/>
      <c r="M47" s="1"/>
    </row>
    <row r="48" spans="1:13">
      <c r="A48" s="1"/>
      <c r="B48" s="1"/>
      <c r="C48" s="1"/>
      <c r="D48" s="1"/>
      <c r="E48" s="1"/>
      <c r="F48" s="1"/>
      <c r="G48" s="1"/>
      <c r="H48" s="1"/>
      <c r="I48" s="1"/>
      <c r="J48" s="1"/>
      <c r="K48" s="1"/>
      <c r="L48" s="1"/>
      <c r="M48" s="1"/>
    </row>
    <row r="49" spans="1:13">
      <c r="A49" s="1"/>
      <c r="B49" s="1"/>
      <c r="C49" s="1"/>
      <c r="D49" s="1"/>
      <c r="E49" s="1"/>
      <c r="F49" s="1"/>
      <c r="G49" s="1"/>
      <c r="H49" s="1"/>
      <c r="I49" s="1"/>
      <c r="J49" s="1"/>
      <c r="K49" s="1"/>
      <c r="L49" s="1"/>
      <c r="M49" s="1"/>
    </row>
    <row r="50" spans="1:13">
      <c r="A50" s="1"/>
      <c r="B50" s="1"/>
      <c r="C50" s="1"/>
      <c r="D50" s="1"/>
      <c r="E50" s="1"/>
      <c r="F50" s="1"/>
      <c r="G50" s="1"/>
      <c r="H50" s="1"/>
      <c r="I50" s="1"/>
      <c r="J50" s="1"/>
      <c r="K50" s="1"/>
      <c r="L50" s="1"/>
      <c r="M50" s="1"/>
    </row>
    <row r="51" spans="1:13">
      <c r="A51" s="1"/>
      <c r="B51" s="1"/>
      <c r="C51" s="1"/>
      <c r="D51" s="1"/>
      <c r="E51" s="1"/>
      <c r="F51" s="1"/>
      <c r="G51" s="1"/>
      <c r="H51" s="1"/>
      <c r="I51" s="1"/>
      <c r="J51" s="1"/>
      <c r="K51" s="1"/>
      <c r="L51" s="1"/>
      <c r="M51" s="1"/>
    </row>
    <row r="52" spans="1:13">
      <c r="A52" s="1"/>
      <c r="B52" s="1"/>
      <c r="C52" s="1"/>
      <c r="D52" s="1"/>
      <c r="E52" s="1"/>
      <c r="F52" s="1"/>
      <c r="G52" s="1"/>
      <c r="H52" s="1"/>
      <c r="I52" s="1"/>
      <c r="J52" s="1"/>
      <c r="K52" s="1"/>
      <c r="L52" s="1"/>
      <c r="M52" s="1"/>
    </row>
    <row r="53" spans="1:13">
      <c r="A53" s="1"/>
      <c r="B53" s="1"/>
      <c r="C53" s="1"/>
      <c r="D53" s="1"/>
      <c r="E53" s="1"/>
      <c r="F53" s="1"/>
      <c r="G53" s="1"/>
      <c r="H53" s="1"/>
      <c r="I53" s="1"/>
      <c r="J53" s="1"/>
      <c r="K53" s="1"/>
      <c r="L53" s="1"/>
      <c r="M53" s="1"/>
    </row>
    <row r="54" spans="1:13">
      <c r="A54" s="1"/>
      <c r="B54" s="1"/>
      <c r="C54" s="1"/>
      <c r="D54" s="1"/>
      <c r="E54" s="1"/>
      <c r="F54" s="1"/>
      <c r="G54" s="1"/>
      <c r="H54" s="1"/>
      <c r="I54" s="1"/>
      <c r="J54" s="1"/>
      <c r="K54" s="1"/>
      <c r="L54" s="1"/>
      <c r="M54" s="1"/>
    </row>
    <row r="55" spans="1:13">
      <c r="A55" s="1"/>
      <c r="B55" s="1"/>
      <c r="C55" s="1"/>
      <c r="D55" s="1"/>
      <c r="E55" s="1"/>
      <c r="F55" s="1"/>
      <c r="G55" s="1"/>
      <c r="H55" s="1"/>
      <c r="I55" s="1"/>
      <c r="J55" s="1"/>
      <c r="K55" s="1"/>
      <c r="L55" s="1"/>
      <c r="M55" s="1"/>
    </row>
    <row r="56" spans="1:13">
      <c r="A56" s="1"/>
      <c r="B56" s="1"/>
      <c r="C56" s="1"/>
      <c r="D56" s="1"/>
      <c r="E56" s="1"/>
      <c r="F56" s="1"/>
      <c r="G56" s="1"/>
      <c r="H56" s="1"/>
      <c r="I56" s="1"/>
      <c r="J56" s="1"/>
      <c r="K56" s="1"/>
      <c r="L56" s="1"/>
      <c r="M56" s="1"/>
    </row>
    <row r="57" spans="1:13">
      <c r="A57" s="1"/>
      <c r="B57" s="1"/>
      <c r="C57" s="1"/>
      <c r="D57" s="1"/>
      <c r="E57" s="1"/>
      <c r="F57" s="1"/>
      <c r="G57" s="1"/>
      <c r="H57" s="1"/>
      <c r="I57" s="1"/>
      <c r="J57" s="1"/>
      <c r="K57" s="1"/>
      <c r="L57" s="1"/>
      <c r="M57" s="1"/>
    </row>
    <row r="58" spans="1:13">
      <c r="A58" s="1"/>
      <c r="B58" s="1"/>
      <c r="C58" s="1"/>
      <c r="D58" s="1"/>
      <c r="E58" s="1"/>
      <c r="F58" s="1"/>
      <c r="G58" s="1"/>
      <c r="H58" s="1"/>
      <c r="I58" s="1"/>
      <c r="J58" s="1"/>
      <c r="K58" s="1"/>
      <c r="L58" s="1"/>
      <c r="M58" s="1"/>
    </row>
    <row r="59" spans="1:13">
      <c r="A59" s="1"/>
      <c r="B59" s="1"/>
      <c r="C59" s="1"/>
      <c r="D59" s="1"/>
      <c r="E59" s="1"/>
      <c r="F59" s="1"/>
      <c r="G59" s="1"/>
      <c r="H59" s="1"/>
      <c r="I59" s="1"/>
      <c r="J59" s="1"/>
      <c r="K59" s="1"/>
      <c r="L59" s="1"/>
      <c r="M59" s="1"/>
    </row>
    <row r="60" spans="1:13">
      <c r="A60" s="1"/>
      <c r="B60" s="1"/>
      <c r="C60" s="1"/>
      <c r="D60" s="1"/>
      <c r="E60" s="1"/>
      <c r="F60" s="1"/>
      <c r="G60" s="1"/>
      <c r="H60" s="1"/>
      <c r="I60" s="1"/>
      <c r="J60" s="1"/>
      <c r="K60" s="1"/>
      <c r="L60" s="1"/>
      <c r="M60" s="1"/>
    </row>
    <row r="61" spans="1:13">
      <c r="A61" s="1"/>
      <c r="B61" s="1"/>
      <c r="C61" s="1"/>
      <c r="D61" s="1"/>
      <c r="E61" s="1"/>
      <c r="F61" s="1"/>
      <c r="G61" s="1"/>
      <c r="H61" s="1"/>
      <c r="I61" s="1"/>
      <c r="J61" s="1"/>
      <c r="K61" s="1"/>
      <c r="L61" s="1"/>
      <c r="M61" s="1"/>
    </row>
    <row r="62" spans="1:13">
      <c r="A62" s="1"/>
      <c r="B62" s="1"/>
      <c r="C62" s="1"/>
      <c r="D62" s="1"/>
      <c r="E62" s="1"/>
      <c r="F62" s="1"/>
      <c r="G62" s="1"/>
      <c r="H62" s="1"/>
      <c r="I62" s="1"/>
      <c r="J62" s="1"/>
      <c r="K62" s="1"/>
      <c r="L62" s="1"/>
      <c r="M62" s="1"/>
    </row>
    <row r="63" spans="1:13">
      <c r="A63" s="1"/>
      <c r="B63" s="1"/>
      <c r="C63" s="1"/>
      <c r="D63" s="1"/>
      <c r="E63" s="1"/>
      <c r="F63" s="1"/>
      <c r="G63" s="1"/>
      <c r="H63" s="1"/>
      <c r="I63" s="1"/>
      <c r="J63" s="1"/>
      <c r="K63" s="1"/>
      <c r="L63" s="1"/>
      <c r="M63" s="1"/>
    </row>
    <row r="64" spans="1:13">
      <c r="A64" s="1"/>
      <c r="B64" s="1"/>
      <c r="C64" s="1"/>
      <c r="D64" s="1"/>
      <c r="E64" s="1"/>
      <c r="F64" s="1"/>
      <c r="G64" s="1"/>
      <c r="H64" s="1"/>
      <c r="I64" s="1"/>
      <c r="J64" s="1"/>
      <c r="K64" s="1"/>
      <c r="L64" s="1"/>
      <c r="M64" s="1"/>
    </row>
    <row r="65" spans="1:13">
      <c r="A65" s="1"/>
      <c r="B65" s="1"/>
      <c r="C65" s="1"/>
      <c r="D65" s="1"/>
      <c r="E65" s="1"/>
      <c r="F65" s="1"/>
      <c r="G65" s="1"/>
      <c r="H65" s="1"/>
      <c r="I65" s="1"/>
      <c r="J65" s="1"/>
      <c r="K65" s="1"/>
      <c r="L65" s="1"/>
      <c r="M65" s="1"/>
    </row>
    <row r="66" spans="1:13">
      <c r="A66" s="1"/>
      <c r="B66" s="1"/>
      <c r="C66" s="1"/>
      <c r="D66" s="1"/>
      <c r="E66" s="1"/>
      <c r="F66" s="1"/>
      <c r="G66" s="1"/>
      <c r="H66" s="1"/>
      <c r="I66" s="1"/>
      <c r="J66" s="1"/>
      <c r="K66" s="1"/>
      <c r="L66" s="1"/>
      <c r="M66" s="1"/>
    </row>
    <row r="67" spans="1:13">
      <c r="A67" s="1"/>
      <c r="B67" s="1"/>
      <c r="C67" s="1"/>
      <c r="D67" s="1"/>
      <c r="E67" s="1"/>
      <c r="F67" s="1"/>
      <c r="G67" s="1"/>
      <c r="H67" s="1"/>
      <c r="I67" s="1"/>
      <c r="J67" s="1"/>
      <c r="K67" s="1"/>
      <c r="L67" s="1"/>
      <c r="M67" s="1"/>
    </row>
    <row r="68" spans="1:13">
      <c r="A68" s="1"/>
      <c r="B68" s="1"/>
      <c r="C68" s="1"/>
      <c r="D68" s="1"/>
      <c r="E68" s="1"/>
      <c r="F68" s="1"/>
      <c r="G68" s="1"/>
      <c r="H68" s="1"/>
      <c r="I68" s="1"/>
      <c r="J68" s="1"/>
      <c r="K68" s="1"/>
      <c r="L68" s="1"/>
      <c r="M68" s="1"/>
    </row>
    <row r="69" spans="1:13">
      <c r="A69" s="1"/>
      <c r="B69" s="1"/>
      <c r="C69" s="1"/>
      <c r="D69" s="1"/>
      <c r="E69" s="1"/>
      <c r="F69" s="1"/>
      <c r="G69" s="1"/>
      <c r="H69" s="1"/>
      <c r="I69" s="1"/>
      <c r="J69" s="1"/>
      <c r="K69" s="1"/>
      <c r="L69" s="1"/>
      <c r="M69" s="1"/>
    </row>
    <row r="70" spans="1:13">
      <c r="A70" s="1"/>
      <c r="B70" s="1"/>
      <c r="C70" s="1"/>
      <c r="D70" s="1"/>
      <c r="E70" s="1"/>
      <c r="F70" s="1"/>
      <c r="G70" s="1"/>
      <c r="H70" s="1"/>
      <c r="I70" s="1"/>
      <c r="J70" s="1"/>
      <c r="K70" s="1"/>
      <c r="L70" s="1"/>
      <c r="M70" s="1"/>
    </row>
    <row r="71" spans="1:13">
      <c r="A71" s="1"/>
      <c r="B71" s="1"/>
      <c r="C71" s="1"/>
      <c r="D71" s="1"/>
      <c r="E71" s="1"/>
      <c r="F71" s="1"/>
      <c r="G71" s="1"/>
      <c r="H71" s="1"/>
      <c r="I71" s="1"/>
      <c r="J71" s="1"/>
      <c r="K71" s="1"/>
      <c r="L71" s="1"/>
      <c r="M71" s="1"/>
    </row>
    <row r="72" spans="1:13">
      <c r="A72" s="1"/>
      <c r="B72" s="1"/>
      <c r="C72" s="1"/>
      <c r="D72" s="1"/>
      <c r="E72" s="1"/>
      <c r="F72" s="1"/>
      <c r="G72" s="1"/>
      <c r="H72" s="1"/>
      <c r="I72" s="1"/>
      <c r="J72" s="1"/>
      <c r="K72" s="1"/>
      <c r="L72" s="1"/>
      <c r="M72" s="1"/>
    </row>
    <row r="73" spans="1:13">
      <c r="A73" s="1"/>
      <c r="B73" s="1"/>
      <c r="C73" s="1"/>
      <c r="D73" s="1"/>
      <c r="E73" s="1"/>
      <c r="F73" s="1"/>
      <c r="G73" s="1"/>
      <c r="H73" s="1"/>
      <c r="I73" s="1"/>
      <c r="J73" s="1"/>
      <c r="K73" s="1"/>
      <c r="L73" s="1"/>
      <c r="M73" s="1"/>
    </row>
    <row r="74" spans="1:13">
      <c r="A74" s="1"/>
      <c r="B74" s="1"/>
      <c r="C74" s="1"/>
      <c r="D74" s="1"/>
      <c r="E74" s="1"/>
      <c r="F74" s="1"/>
      <c r="G74" s="1"/>
      <c r="H74" s="1"/>
      <c r="I74" s="1"/>
      <c r="J74" s="1"/>
      <c r="K74" s="1"/>
      <c r="L74" s="1"/>
      <c r="M74" s="1"/>
    </row>
    <row r="75" spans="1:13">
      <c r="A75" s="1"/>
      <c r="B75" s="1"/>
      <c r="C75" s="1"/>
      <c r="D75" s="1"/>
      <c r="E75" s="1"/>
      <c r="F75" s="1"/>
      <c r="G75" s="1"/>
      <c r="H75" s="1"/>
      <c r="I75" s="1"/>
      <c r="J75" s="1"/>
      <c r="K75" s="1"/>
      <c r="L75" s="1"/>
      <c r="M75" s="1"/>
    </row>
    <row r="76" spans="1:13">
      <c r="A76" s="1"/>
      <c r="B76" s="1"/>
      <c r="C76" s="1"/>
      <c r="D76" s="1"/>
      <c r="E76" s="1"/>
      <c r="F76" s="1"/>
      <c r="G76" s="1"/>
      <c r="H76" s="1"/>
      <c r="I76" s="1"/>
      <c r="J76" s="1"/>
      <c r="K76" s="1"/>
      <c r="L76" s="1"/>
      <c r="M76" s="1"/>
    </row>
    <row r="77" spans="1:13">
      <c r="A77" s="1"/>
      <c r="B77" s="1"/>
      <c r="C77" s="1"/>
      <c r="D77" s="1"/>
      <c r="E77" s="1"/>
      <c r="F77" s="1"/>
      <c r="G77" s="1"/>
      <c r="H77" s="1"/>
      <c r="I77" s="1"/>
      <c r="J77" s="1"/>
      <c r="K77" s="1"/>
      <c r="L77" s="1"/>
      <c r="M77" s="1"/>
    </row>
    <row r="78" spans="1:13">
      <c r="A78" s="1"/>
      <c r="B78" s="1"/>
      <c r="C78" s="1"/>
      <c r="D78" s="1"/>
      <c r="E78" s="1"/>
      <c r="F78" s="1"/>
      <c r="G78" s="1"/>
      <c r="H78" s="1"/>
      <c r="I78" s="1"/>
      <c r="J78" s="1"/>
      <c r="K78" s="1"/>
      <c r="L78" s="1"/>
      <c r="M78" s="1"/>
    </row>
    <row r="79" spans="1:13">
      <c r="A79" s="1"/>
      <c r="B79" s="1"/>
      <c r="C79" s="1"/>
      <c r="D79" s="1"/>
      <c r="E79" s="1"/>
      <c r="F79" s="1"/>
      <c r="G79" s="1"/>
      <c r="H79" s="1"/>
      <c r="I79" s="1"/>
      <c r="J79" s="1"/>
      <c r="K79" s="1"/>
      <c r="L79" s="1"/>
      <c r="M79" s="1"/>
    </row>
    <row r="80" spans="1:13">
      <c r="A80" s="1"/>
      <c r="B80" s="1"/>
      <c r="C80" s="1"/>
      <c r="D80" s="1"/>
      <c r="E80" s="1"/>
      <c r="F80" s="1"/>
      <c r="G80" s="1"/>
      <c r="H80" s="1"/>
      <c r="I80" s="1"/>
      <c r="J80" s="1"/>
      <c r="K80" s="1"/>
      <c r="L80" s="1"/>
      <c r="M80" s="1"/>
    </row>
    <row r="81" spans="1:13">
      <c r="A81" s="1"/>
      <c r="B81" s="1"/>
      <c r="C81" s="1"/>
      <c r="D81" s="1"/>
      <c r="E81" s="1"/>
      <c r="F81" s="1"/>
      <c r="G81" s="1"/>
      <c r="H81" s="1"/>
      <c r="I81" s="1"/>
      <c r="J81" s="1"/>
      <c r="K81" s="1"/>
      <c r="L81" s="1"/>
      <c r="M81" s="1"/>
    </row>
    <row r="82" spans="1:13">
      <c r="A82" s="1"/>
      <c r="B82" s="1"/>
      <c r="C82" s="1"/>
      <c r="D82" s="1"/>
      <c r="E82" s="1"/>
      <c r="F82" s="1"/>
      <c r="G82" s="1"/>
      <c r="H82" s="1"/>
      <c r="I82" s="1"/>
      <c r="J82" s="1"/>
      <c r="K82" s="1"/>
      <c r="L82" s="1"/>
      <c r="M82" s="1"/>
    </row>
    <row r="83" spans="1:13">
      <c r="A83" s="1"/>
      <c r="B83" s="1"/>
      <c r="C83" s="1"/>
      <c r="D83" s="1"/>
      <c r="E83" s="1"/>
      <c r="F83" s="1"/>
      <c r="G83" s="1"/>
      <c r="H83" s="1"/>
      <c r="I83" s="1"/>
      <c r="J83" s="1"/>
      <c r="K83" s="1"/>
      <c r="L83" s="1"/>
      <c r="M83" s="1"/>
    </row>
    <row r="84" spans="1:13">
      <c r="A84" s="1"/>
      <c r="B84" s="1"/>
      <c r="C84" s="1"/>
      <c r="D84" s="1"/>
      <c r="E84" s="1"/>
      <c r="F84" s="1"/>
      <c r="G84" s="1"/>
      <c r="H84" s="1"/>
      <c r="I84" s="1"/>
      <c r="J84" s="1"/>
      <c r="K84" s="1"/>
      <c r="L84" s="1"/>
      <c r="M84" s="1"/>
    </row>
    <row r="85" spans="1:13">
      <c r="A85" s="1"/>
      <c r="B85" s="1"/>
      <c r="C85" s="1"/>
      <c r="D85" s="1"/>
      <c r="E85" s="1"/>
      <c r="F85" s="1"/>
      <c r="G85" s="1"/>
      <c r="H85" s="1"/>
      <c r="I85" s="1"/>
      <c r="J85" s="1"/>
      <c r="K85" s="1"/>
      <c r="L85" s="1"/>
      <c r="M85" s="1"/>
    </row>
    <row r="86" spans="1:13">
      <c r="A86" s="1"/>
      <c r="B86" s="1"/>
      <c r="C86" s="1"/>
      <c r="D86" s="1"/>
      <c r="E86" s="1"/>
      <c r="F86" s="1"/>
      <c r="G86" s="1"/>
      <c r="H86" s="1"/>
      <c r="I86" s="1"/>
      <c r="J86" s="1"/>
      <c r="K86" s="1"/>
      <c r="L86" s="1"/>
      <c r="M86" s="1"/>
    </row>
    <row r="87" spans="1:13">
      <c r="A87" s="1"/>
      <c r="B87" s="1"/>
      <c r="C87" s="1"/>
      <c r="D87" s="1"/>
      <c r="E87" s="1"/>
      <c r="F87" s="1"/>
      <c r="G87" s="1"/>
      <c r="H87" s="1"/>
      <c r="I87" s="1"/>
      <c r="J87" s="1"/>
      <c r="K87" s="1"/>
      <c r="L87" s="1"/>
      <c r="M87" s="1"/>
    </row>
    <row r="88" spans="1:13">
      <c r="A88" s="1"/>
      <c r="B88" s="1"/>
      <c r="C88" s="1"/>
      <c r="D88" s="1"/>
      <c r="E88" s="1"/>
      <c r="F88" s="1"/>
      <c r="G88" s="1"/>
      <c r="H88" s="1"/>
      <c r="I88" s="1"/>
      <c r="J88" s="1"/>
      <c r="K88" s="1"/>
      <c r="L88" s="1"/>
      <c r="M88" s="1"/>
    </row>
    <row r="89" spans="1:13">
      <c r="A89" s="1"/>
      <c r="B89" s="1"/>
      <c r="C89" s="1"/>
      <c r="D89" s="1"/>
      <c r="E89" s="1"/>
      <c r="F89" s="1"/>
      <c r="G89" s="1"/>
      <c r="H89" s="1"/>
      <c r="I89" s="1"/>
      <c r="J89" s="1"/>
      <c r="K89" s="1"/>
      <c r="L89" s="1"/>
      <c r="M89" s="1"/>
    </row>
    <row r="90" spans="1:13">
      <c r="A90" s="1"/>
      <c r="B90" s="1"/>
      <c r="C90" s="1"/>
      <c r="D90" s="1"/>
      <c r="E90" s="1"/>
      <c r="F90" s="1"/>
      <c r="G90" s="1"/>
      <c r="H90" s="1"/>
      <c r="I90" s="1"/>
      <c r="J90" s="1"/>
      <c r="K90" s="1"/>
      <c r="L90" s="1"/>
      <c r="M90" s="1"/>
    </row>
    <row r="91" spans="1:13">
      <c r="A91" s="1"/>
      <c r="B91" s="1"/>
      <c r="C91" s="1"/>
      <c r="D91" s="1"/>
      <c r="E91" s="1"/>
      <c r="F91" s="1"/>
      <c r="G91" s="1"/>
      <c r="H91" s="1"/>
      <c r="I91" s="1"/>
      <c r="J91" s="1"/>
      <c r="K91" s="1"/>
      <c r="L91" s="1"/>
      <c r="M91" s="1"/>
    </row>
    <row r="92" spans="1:13">
      <c r="A92" s="1"/>
      <c r="B92" s="1"/>
      <c r="C92" s="1"/>
      <c r="D92" s="1"/>
      <c r="E92" s="1"/>
      <c r="F92" s="1"/>
      <c r="G92" s="1"/>
      <c r="H92" s="1"/>
      <c r="I92" s="1"/>
      <c r="J92" s="1"/>
      <c r="K92" s="1"/>
      <c r="L92" s="1"/>
      <c r="M92" s="1"/>
    </row>
    <row r="93" spans="1:13">
      <c r="A93" s="1"/>
      <c r="B93" s="1"/>
      <c r="C93" s="1"/>
      <c r="D93" s="1"/>
      <c r="E93" s="1"/>
      <c r="F93" s="1"/>
      <c r="G93" s="1"/>
      <c r="H93" s="1"/>
      <c r="I93" s="1"/>
      <c r="J93" s="1"/>
      <c r="K93" s="1"/>
      <c r="L93" s="1"/>
      <c r="M93" s="1"/>
    </row>
    <row r="94" spans="1:13">
      <c r="A94" s="1"/>
      <c r="B94" s="1"/>
      <c r="C94" s="1"/>
      <c r="D94" s="1"/>
      <c r="E94" s="1"/>
      <c r="F94" s="1"/>
      <c r="G94" s="1"/>
      <c r="H94" s="1"/>
      <c r="I94" s="1"/>
      <c r="J94" s="1"/>
      <c r="K94" s="1"/>
      <c r="L94" s="1"/>
      <c r="M94" s="1"/>
    </row>
    <row r="95" spans="1:13">
      <c r="A95" s="1"/>
      <c r="B95" s="1"/>
      <c r="C95" s="1"/>
      <c r="D95" s="1"/>
      <c r="E95" s="1"/>
      <c r="F95" s="1"/>
      <c r="G95" s="1"/>
      <c r="H95" s="1"/>
      <c r="I95" s="1"/>
      <c r="J95" s="1"/>
      <c r="K95" s="1"/>
      <c r="L95" s="1"/>
      <c r="M95" s="1"/>
    </row>
    <row r="96" spans="1:13">
      <c r="A96" s="1"/>
      <c r="B96" s="1"/>
      <c r="C96" s="1"/>
      <c r="D96" s="1"/>
      <c r="E96" s="1"/>
      <c r="F96" s="1"/>
      <c r="G96" s="1"/>
      <c r="H96" s="1"/>
      <c r="I96" s="1"/>
      <c r="J96" s="1"/>
      <c r="K96" s="1"/>
      <c r="L96" s="1"/>
      <c r="M96" s="1"/>
    </row>
    <row r="97" spans="1:13">
      <c r="A97" s="1"/>
      <c r="B97" s="1"/>
      <c r="C97" s="1"/>
      <c r="D97" s="1"/>
      <c r="E97" s="1"/>
      <c r="F97" s="1"/>
      <c r="G97" s="1"/>
      <c r="H97" s="1"/>
      <c r="I97" s="1"/>
      <c r="J97" s="1"/>
      <c r="K97" s="1"/>
      <c r="L97" s="1"/>
      <c r="M97" s="1"/>
    </row>
    <row r="98" spans="1:13">
      <c r="A98" s="1"/>
      <c r="B98" s="1"/>
      <c r="C98" s="1"/>
      <c r="D98" s="1"/>
      <c r="E98" s="1"/>
      <c r="F98" s="1"/>
      <c r="G98" s="1"/>
      <c r="H98" s="1"/>
      <c r="I98" s="1"/>
      <c r="J98" s="1"/>
      <c r="K98" s="1"/>
      <c r="L98" s="1"/>
      <c r="M98" s="1"/>
    </row>
    <row r="99" spans="1:13">
      <c r="A99" s="1"/>
      <c r="B99" s="1"/>
      <c r="C99" s="1"/>
      <c r="D99" s="1"/>
      <c r="E99" s="1"/>
      <c r="F99" s="1"/>
      <c r="G99" s="1"/>
      <c r="H99" s="1"/>
      <c r="I99" s="1"/>
      <c r="J99" s="1"/>
      <c r="K99" s="1"/>
      <c r="L99" s="1"/>
      <c r="M99" s="1"/>
    </row>
    <row r="100" spans="1:13">
      <c r="A100" s="1"/>
      <c r="B100" s="1"/>
      <c r="C100" s="1"/>
      <c r="D100" s="1"/>
      <c r="E100" s="1"/>
      <c r="F100" s="1"/>
      <c r="G100" s="1"/>
      <c r="H100" s="1"/>
      <c r="I100" s="1"/>
      <c r="J100" s="1"/>
      <c r="K100" s="1"/>
      <c r="L100" s="1"/>
      <c r="M100" s="1"/>
    </row>
    <row r="101" spans="1:13">
      <c r="A101" s="1"/>
      <c r="B101" s="1"/>
      <c r="C101" s="1"/>
      <c r="D101" s="1"/>
      <c r="E101" s="1"/>
      <c r="F101" s="1"/>
      <c r="G101" s="1"/>
      <c r="H101" s="1"/>
      <c r="I101" s="1"/>
      <c r="J101" s="1"/>
      <c r="K101" s="1"/>
      <c r="L101" s="1"/>
      <c r="M101" s="1"/>
    </row>
    <row r="102" spans="1:13">
      <c r="A102" s="1"/>
      <c r="B102" s="1"/>
      <c r="C102" s="1"/>
      <c r="D102" s="1"/>
      <c r="E102" s="1"/>
      <c r="F102" s="1"/>
      <c r="G102" s="1"/>
      <c r="H102" s="1"/>
      <c r="I102" s="1"/>
      <c r="J102" s="1"/>
      <c r="K102" s="1"/>
      <c r="L102" s="1"/>
      <c r="M102" s="1"/>
    </row>
    <row r="103" spans="1:13">
      <c r="A103" s="1"/>
      <c r="B103" s="1"/>
      <c r="C103" s="1"/>
      <c r="D103" s="1"/>
      <c r="E103" s="1"/>
      <c r="F103" s="1"/>
      <c r="G103" s="1"/>
      <c r="H103" s="1"/>
      <c r="I103" s="1"/>
      <c r="J103" s="1"/>
      <c r="K103" s="1"/>
      <c r="L103" s="1"/>
      <c r="M103" s="1"/>
    </row>
    <row r="104" spans="1:13">
      <c r="A104" s="1"/>
      <c r="B104" s="1"/>
      <c r="C104" s="1"/>
      <c r="D104" s="1"/>
      <c r="E104" s="1"/>
      <c r="F104" s="1"/>
      <c r="G104" s="1"/>
      <c r="H104" s="1"/>
      <c r="I104" s="1"/>
      <c r="J104" s="1"/>
      <c r="K104" s="1"/>
      <c r="L104" s="1"/>
      <c r="M104" s="1"/>
    </row>
    <row r="105" spans="1:13">
      <c r="A105" s="1"/>
      <c r="B105" s="1"/>
      <c r="C105" s="1"/>
      <c r="D105" s="1"/>
      <c r="E105" s="1"/>
      <c r="F105" s="1"/>
      <c r="G105" s="1"/>
      <c r="H105" s="1"/>
      <c r="I105" s="1"/>
      <c r="J105" s="1"/>
      <c r="K105" s="1"/>
      <c r="L105" s="1"/>
      <c r="M105" s="1"/>
    </row>
    <row r="106" spans="1:13">
      <c r="A106" s="1"/>
      <c r="B106" s="1"/>
      <c r="C106" s="1"/>
      <c r="D106" s="1"/>
      <c r="E106" s="1"/>
      <c r="F106" s="1"/>
      <c r="G106" s="1"/>
      <c r="H106" s="1"/>
      <c r="I106" s="1"/>
      <c r="J106" s="1"/>
      <c r="K106" s="1"/>
      <c r="L106" s="1"/>
      <c r="M106" s="1"/>
    </row>
    <row r="107" spans="1:13">
      <c r="A107" s="1"/>
      <c r="B107" s="1"/>
      <c r="C107" s="1"/>
      <c r="D107" s="1"/>
      <c r="E107" s="1"/>
      <c r="F107" s="1"/>
      <c r="G107" s="1"/>
      <c r="H107" s="1"/>
      <c r="I107" s="1"/>
      <c r="J107" s="1"/>
      <c r="K107" s="1"/>
      <c r="L107" s="1"/>
      <c r="M107" s="1"/>
    </row>
    <row r="108" spans="1:13">
      <c r="A108" s="1"/>
      <c r="B108" s="1"/>
      <c r="C108" s="1"/>
      <c r="D108" s="1"/>
      <c r="E108" s="1"/>
      <c r="F108" s="1"/>
      <c r="G108" s="1"/>
      <c r="H108" s="1"/>
      <c r="I108" s="1"/>
      <c r="J108" s="1"/>
      <c r="K108" s="1"/>
      <c r="L108" s="1"/>
      <c r="M108" s="1"/>
    </row>
    <row r="109" spans="1:13">
      <c r="A109" s="1"/>
      <c r="B109" s="1"/>
      <c r="C109" s="1"/>
      <c r="D109" s="1"/>
      <c r="E109" s="1"/>
      <c r="F109" s="1"/>
      <c r="G109" s="1"/>
      <c r="H109" s="1"/>
      <c r="I109" s="1"/>
      <c r="J109" s="1"/>
      <c r="K109" s="1"/>
      <c r="L109" s="1"/>
      <c r="M109" s="1"/>
    </row>
    <row r="110" spans="1:13">
      <c r="A110" s="1"/>
      <c r="B110" s="1"/>
      <c r="C110" s="1"/>
      <c r="D110" s="1"/>
      <c r="E110" s="1"/>
      <c r="F110" s="1"/>
      <c r="G110" s="1"/>
      <c r="H110" s="1"/>
      <c r="I110" s="1"/>
      <c r="J110" s="1"/>
      <c r="K110" s="1"/>
      <c r="L110" s="1"/>
      <c r="M110" s="1"/>
    </row>
    <row r="111" spans="1:13">
      <c r="A111" s="1"/>
      <c r="B111" s="1"/>
      <c r="C111" s="1"/>
      <c r="D111" s="1"/>
      <c r="E111" s="1"/>
      <c r="F111" s="1"/>
      <c r="G111" s="1"/>
      <c r="H111" s="1"/>
      <c r="I111" s="1"/>
      <c r="J111" s="1"/>
      <c r="K111" s="1"/>
      <c r="L111" s="1"/>
      <c r="M111" s="1"/>
    </row>
    <row r="112" spans="1:13">
      <c r="A112" s="1"/>
      <c r="B112" s="1"/>
      <c r="C112" s="1"/>
      <c r="D112" s="1"/>
      <c r="E112" s="1"/>
      <c r="F112" s="1"/>
      <c r="G112" s="1"/>
      <c r="H112" s="1"/>
      <c r="I112" s="1"/>
      <c r="J112" s="1"/>
      <c r="K112" s="1"/>
      <c r="L112" s="1"/>
      <c r="M112" s="1"/>
    </row>
    <row r="113" spans="1:13">
      <c r="A113" s="1"/>
      <c r="B113" s="1"/>
      <c r="C113" s="1"/>
      <c r="D113" s="1"/>
      <c r="E113" s="1"/>
      <c r="F113" s="1"/>
      <c r="G113" s="1"/>
      <c r="H113" s="1"/>
      <c r="I113" s="1"/>
      <c r="J113" s="1"/>
      <c r="K113" s="1"/>
      <c r="L113" s="1"/>
      <c r="M113" s="1"/>
    </row>
    <row r="114" spans="1:13">
      <c r="A114" s="1"/>
      <c r="B114" s="1"/>
      <c r="C114" s="1"/>
      <c r="D114" s="1"/>
      <c r="E114" s="1"/>
      <c r="F114" s="1"/>
      <c r="G114" s="1"/>
      <c r="H114" s="1"/>
      <c r="I114" s="1"/>
      <c r="J114" s="1"/>
      <c r="K114" s="1"/>
      <c r="L114" s="1"/>
      <c r="M114" s="1"/>
    </row>
    <row r="115" spans="1:13">
      <c r="A115" s="1"/>
      <c r="B115" s="1"/>
      <c r="C115" s="1"/>
      <c r="D115" s="1"/>
      <c r="E115" s="1"/>
      <c r="F115" s="1"/>
      <c r="G115" s="1"/>
      <c r="H115" s="1"/>
      <c r="I115" s="1"/>
      <c r="J115" s="1"/>
      <c r="K115" s="1"/>
      <c r="L115" s="1"/>
      <c r="M115" s="1"/>
    </row>
    <row r="116" spans="1:13">
      <c r="A116" s="1"/>
      <c r="B116" s="1"/>
      <c r="C116" s="1"/>
      <c r="D116" s="1"/>
      <c r="E116" s="1"/>
      <c r="F116" s="1"/>
      <c r="G116" s="1"/>
      <c r="H116" s="1"/>
      <c r="I116" s="1"/>
      <c r="J116" s="1"/>
      <c r="K116" s="1"/>
      <c r="L116" s="1"/>
      <c r="M116" s="1"/>
    </row>
    <row r="117" spans="1:13">
      <c r="A117" s="1"/>
      <c r="B117" s="1"/>
      <c r="C117" s="1"/>
      <c r="D117" s="1"/>
      <c r="E117" s="1"/>
      <c r="F117" s="1"/>
      <c r="G117" s="1"/>
      <c r="H117" s="1"/>
      <c r="I117" s="1"/>
      <c r="J117" s="1"/>
      <c r="K117" s="1"/>
      <c r="L117" s="1"/>
      <c r="M117" s="1"/>
    </row>
    <row r="118" spans="1:13">
      <c r="A118" s="1"/>
      <c r="B118" s="1"/>
      <c r="C118" s="1"/>
      <c r="D118" s="1"/>
      <c r="E118" s="1"/>
      <c r="F118" s="1"/>
      <c r="G118" s="1"/>
      <c r="H118" s="1"/>
      <c r="I118" s="1"/>
      <c r="J118" s="1"/>
      <c r="K118" s="1"/>
      <c r="L118" s="1"/>
      <c r="M118" s="1"/>
    </row>
    <row r="119" spans="1:13">
      <c r="A119" s="1"/>
      <c r="B119" s="1"/>
      <c r="C119" s="1"/>
      <c r="D119" s="1"/>
      <c r="E119" s="1"/>
      <c r="F119" s="1"/>
      <c r="G119" s="1"/>
      <c r="H119" s="1"/>
      <c r="I119" s="1"/>
      <c r="J119" s="1"/>
      <c r="K119" s="1"/>
      <c r="L119" s="1"/>
      <c r="M119" s="1"/>
    </row>
    <row r="120" spans="1:13">
      <c r="A120" s="1"/>
      <c r="B120" s="1"/>
      <c r="C120" s="1"/>
      <c r="D120" s="1"/>
      <c r="E120" s="1"/>
      <c r="F120" s="1"/>
      <c r="G120" s="1"/>
      <c r="H120" s="1"/>
      <c r="I120" s="1"/>
      <c r="J120" s="1"/>
      <c r="K120" s="1"/>
      <c r="L120" s="1"/>
      <c r="M120" s="1"/>
    </row>
    <row r="121" spans="1:13">
      <c r="A121" s="1"/>
      <c r="B121" s="1"/>
      <c r="C121" s="1"/>
      <c r="D121" s="1"/>
      <c r="E121" s="1"/>
      <c r="F121" s="1"/>
      <c r="G121" s="1"/>
      <c r="H121" s="1"/>
      <c r="I121" s="1"/>
      <c r="J121" s="1"/>
      <c r="K121" s="1"/>
      <c r="L121" s="1"/>
      <c r="M121" s="1"/>
    </row>
    <row r="122" spans="1:13">
      <c r="A122" s="1"/>
      <c r="B122" s="1"/>
      <c r="C122" s="1"/>
      <c r="D122" s="1"/>
      <c r="E122" s="1"/>
      <c r="F122" s="1"/>
      <c r="G122" s="1"/>
      <c r="H122" s="1"/>
      <c r="I122" s="1"/>
      <c r="J122" s="1"/>
      <c r="K122" s="1"/>
      <c r="L122" s="1"/>
      <c r="M122" s="1"/>
    </row>
    <row r="123" spans="1:13">
      <c r="A123" s="1"/>
      <c r="B123" s="1"/>
      <c r="C123" s="1"/>
      <c r="D123" s="1"/>
      <c r="E123" s="1"/>
      <c r="F123" s="1"/>
      <c r="G123" s="1"/>
      <c r="H123" s="1"/>
      <c r="I123" s="1"/>
      <c r="J123" s="1"/>
      <c r="K123" s="1"/>
      <c r="L123" s="1"/>
      <c r="M123" s="1"/>
    </row>
    <row r="124" spans="1:13">
      <c r="A124" s="1"/>
      <c r="B124" s="1"/>
      <c r="C124" s="1"/>
      <c r="D124" s="1"/>
      <c r="E124" s="1"/>
      <c r="F124" s="1"/>
      <c r="G124" s="1"/>
      <c r="H124" s="1"/>
      <c r="I124" s="1"/>
      <c r="J124" s="1"/>
      <c r="K124" s="1"/>
      <c r="L124" s="1"/>
      <c r="M124" s="1"/>
    </row>
    <row r="125" spans="1:13">
      <c r="A125" s="1"/>
      <c r="B125" s="1"/>
      <c r="C125" s="1"/>
      <c r="D125" s="1"/>
      <c r="E125" s="1"/>
      <c r="F125" s="1"/>
      <c r="G125" s="1"/>
      <c r="H125" s="1"/>
      <c r="I125" s="1"/>
      <c r="J125" s="1"/>
      <c r="K125" s="1"/>
      <c r="L125" s="1"/>
      <c r="M125" s="1"/>
    </row>
    <row r="126" spans="1:13">
      <c r="A126" s="1"/>
      <c r="B126" s="1"/>
      <c r="C126" s="1"/>
      <c r="D126" s="1"/>
      <c r="E126" s="1"/>
      <c r="F126" s="1"/>
      <c r="G126" s="1"/>
      <c r="H126" s="1"/>
      <c r="I126" s="1"/>
      <c r="J126" s="1"/>
      <c r="K126" s="1"/>
      <c r="L126" s="1"/>
      <c r="M126" s="1"/>
    </row>
    <row r="127" spans="1:13">
      <c r="A127" s="1"/>
      <c r="B127" s="1"/>
      <c r="C127" s="1"/>
      <c r="D127" s="1"/>
      <c r="E127" s="1"/>
      <c r="F127" s="1"/>
      <c r="G127" s="1"/>
      <c r="H127" s="1"/>
      <c r="I127" s="1"/>
      <c r="J127" s="1"/>
      <c r="K127" s="1"/>
      <c r="L127" s="1"/>
      <c r="M127" s="1"/>
    </row>
    <row r="128" spans="1:13">
      <c r="A128" s="1"/>
      <c r="B128" s="1"/>
      <c r="C128" s="1"/>
      <c r="D128" s="1"/>
      <c r="E128" s="1"/>
      <c r="F128" s="1"/>
      <c r="G128" s="1"/>
      <c r="H128" s="1"/>
      <c r="I128" s="1"/>
      <c r="J128" s="1"/>
      <c r="K128" s="1"/>
      <c r="L128" s="1"/>
      <c r="M128" s="1"/>
    </row>
    <row r="129" spans="1:13">
      <c r="A129" s="1"/>
      <c r="B129" s="1"/>
      <c r="C129" s="1"/>
      <c r="D129" s="1"/>
      <c r="E129" s="1"/>
      <c r="F129" s="1"/>
      <c r="G129" s="1"/>
      <c r="H129" s="1"/>
      <c r="I129" s="1"/>
      <c r="J129" s="1"/>
      <c r="K129" s="1"/>
      <c r="L129" s="1"/>
      <c r="M129" s="1"/>
    </row>
    <row r="130" spans="1:13">
      <c r="A130" s="1"/>
      <c r="B130" s="1"/>
      <c r="C130" s="1"/>
      <c r="D130" s="1"/>
      <c r="E130" s="1"/>
      <c r="F130" s="1"/>
      <c r="G130" s="1"/>
      <c r="H130" s="1"/>
      <c r="I130" s="1"/>
      <c r="J130" s="1"/>
      <c r="K130" s="1"/>
      <c r="L130" s="1"/>
      <c r="M130" s="1"/>
    </row>
    <row r="131" spans="1:13">
      <c r="A131" s="1"/>
      <c r="B131" s="1"/>
      <c r="C131" s="1"/>
      <c r="D131" s="1"/>
      <c r="E131" s="1"/>
      <c r="F131" s="1"/>
      <c r="G131" s="1"/>
      <c r="H131" s="1"/>
      <c r="I131" s="1"/>
      <c r="J131" s="1"/>
      <c r="K131" s="1"/>
      <c r="L131" s="1"/>
      <c r="M131" s="1"/>
    </row>
    <row r="132" spans="1:13">
      <c r="A132" s="1"/>
      <c r="B132" s="1"/>
      <c r="C132" s="1"/>
      <c r="D132" s="1"/>
      <c r="E132" s="1"/>
      <c r="F132" s="1"/>
      <c r="G132" s="1"/>
      <c r="H132" s="1"/>
      <c r="I132" s="1"/>
      <c r="J132" s="1"/>
      <c r="K132" s="1"/>
      <c r="L132" s="1"/>
      <c r="M132" s="1"/>
    </row>
    <row r="133" spans="1:13">
      <c r="A133" s="1"/>
      <c r="B133" s="1"/>
      <c r="C133" s="1"/>
      <c r="D133" s="1"/>
      <c r="E133" s="1"/>
      <c r="F133" s="1"/>
      <c r="G133" s="1"/>
      <c r="H133" s="1"/>
      <c r="I133" s="1"/>
      <c r="J133" s="1"/>
      <c r="K133" s="1"/>
      <c r="L133" s="1"/>
      <c r="M133" s="1"/>
    </row>
    <row r="134" spans="1:13">
      <c r="A134" s="1"/>
      <c r="B134" s="1"/>
      <c r="C134" s="1"/>
      <c r="D134" s="1"/>
      <c r="E134" s="1"/>
      <c r="F134" s="1"/>
      <c r="G134" s="1"/>
      <c r="H134" s="1"/>
      <c r="I134" s="1"/>
      <c r="J134" s="1"/>
      <c r="K134" s="1"/>
      <c r="L134" s="1"/>
      <c r="M134" s="1"/>
    </row>
    <row r="135" spans="1:13">
      <c r="A135" s="1"/>
      <c r="B135" s="1"/>
      <c r="C135" s="1"/>
      <c r="D135" s="1"/>
      <c r="E135" s="1"/>
      <c r="F135" s="1"/>
      <c r="G135" s="1"/>
      <c r="H135" s="1"/>
      <c r="I135" s="1"/>
      <c r="J135" s="1"/>
      <c r="K135" s="1"/>
      <c r="L135" s="1"/>
      <c r="M135" s="1"/>
    </row>
    <row r="136" spans="1:13">
      <c r="A136" s="1"/>
      <c r="B136" s="1"/>
      <c r="C136" s="1"/>
      <c r="D136" s="1"/>
      <c r="E136" s="1"/>
      <c r="F136" s="1"/>
      <c r="G136" s="1"/>
      <c r="H136" s="1"/>
      <c r="I136" s="1"/>
      <c r="J136" s="1"/>
      <c r="K136" s="1"/>
      <c r="L136" s="1"/>
      <c r="M136" s="1"/>
    </row>
    <row r="137" spans="1:13">
      <c r="A137" s="1"/>
      <c r="B137" s="1"/>
      <c r="C137" s="1"/>
      <c r="D137" s="1"/>
      <c r="E137" s="1"/>
      <c r="F137" s="1"/>
      <c r="G137" s="1"/>
      <c r="H137" s="1"/>
      <c r="I137" s="1"/>
      <c r="J137" s="1"/>
      <c r="K137" s="1"/>
      <c r="L137" s="1"/>
      <c r="M137" s="1"/>
    </row>
    <row r="138" spans="1:13">
      <c r="A138" s="1"/>
      <c r="B138" s="1"/>
      <c r="C138" s="1"/>
      <c r="D138" s="1"/>
      <c r="E138" s="1"/>
      <c r="F138" s="1"/>
      <c r="G138" s="1"/>
      <c r="H138" s="1"/>
      <c r="I138" s="1"/>
      <c r="J138" s="1"/>
      <c r="K138" s="1"/>
      <c r="L138" s="1"/>
      <c r="M138" s="1"/>
    </row>
    <row r="139" spans="1:13">
      <c r="A139" s="1"/>
      <c r="B139" s="1"/>
      <c r="C139" s="1"/>
      <c r="D139" s="1"/>
      <c r="E139" s="1"/>
      <c r="F139" s="1"/>
      <c r="G139" s="1"/>
      <c r="H139" s="1"/>
      <c r="I139" s="1"/>
      <c r="J139" s="1"/>
      <c r="K139" s="1"/>
      <c r="L139" s="1"/>
      <c r="M139" s="1"/>
    </row>
    <row r="140" spans="1:13">
      <c r="A140" s="1"/>
      <c r="B140" s="1"/>
      <c r="C140" s="1"/>
      <c r="D140" s="1"/>
      <c r="E140" s="1"/>
      <c r="F140" s="1"/>
      <c r="G140" s="1"/>
      <c r="H140" s="1"/>
      <c r="I140" s="1"/>
      <c r="J140" s="1"/>
      <c r="K140" s="1"/>
      <c r="L140" s="1"/>
      <c r="M140" s="1"/>
    </row>
    <row r="141" spans="1:13">
      <c r="A141" s="1"/>
      <c r="B141" s="1"/>
      <c r="C141" s="1"/>
      <c r="D141" s="1"/>
      <c r="E141" s="1"/>
      <c r="F141" s="1"/>
      <c r="G141" s="1"/>
      <c r="H141" s="1"/>
      <c r="I141" s="1"/>
      <c r="J141" s="1"/>
      <c r="K141" s="1"/>
      <c r="L141" s="1"/>
      <c r="M141" s="1"/>
    </row>
    <row r="142" spans="1:13">
      <c r="A142" s="1" t="s">
        <v>31</v>
      </c>
      <c r="B142" s="1"/>
      <c r="C142" s="1" t="s">
        <v>136</v>
      </c>
      <c r="D142" s="1"/>
      <c r="E142" s="1"/>
      <c r="F142" s="1"/>
      <c r="G142" s="1"/>
      <c r="H142" s="1"/>
      <c r="I142" s="1"/>
      <c r="J142" s="1"/>
      <c r="K142" s="1"/>
      <c r="L142" s="1"/>
      <c r="M142" s="1"/>
    </row>
    <row r="143" spans="1:13">
      <c r="A143" s="1" t="s">
        <v>31</v>
      </c>
      <c r="B143" s="1"/>
      <c r="C143" s="1" t="s">
        <v>137</v>
      </c>
      <c r="D143" s="1"/>
      <c r="E143" s="1"/>
      <c r="F143" s="1"/>
      <c r="G143" s="1"/>
      <c r="H143" s="1"/>
      <c r="I143" s="1"/>
      <c r="J143" s="1"/>
      <c r="K143" s="1"/>
      <c r="L143" s="1"/>
      <c r="M143" s="1"/>
    </row>
    <row r="144" spans="1:13">
      <c r="A144" s="1" t="s">
        <v>31</v>
      </c>
      <c r="B144" s="1"/>
      <c r="C144" s="1" t="s">
        <v>138</v>
      </c>
      <c r="D144" s="1"/>
      <c r="E144" s="1"/>
      <c r="F144" s="1"/>
      <c r="G144" s="1"/>
      <c r="H144" s="1"/>
      <c r="I144" s="1"/>
      <c r="J144" s="1"/>
      <c r="K144" s="1"/>
      <c r="L144" s="1"/>
      <c r="M144" s="1"/>
    </row>
    <row r="145" spans="1:13">
      <c r="A145" s="1" t="s">
        <v>31</v>
      </c>
      <c r="B145" s="1"/>
      <c r="C145" s="1" t="s">
        <v>139</v>
      </c>
      <c r="D145" s="1"/>
      <c r="E145" s="1"/>
      <c r="F145" s="1"/>
      <c r="G145" s="1"/>
      <c r="H145" s="1"/>
      <c r="I145" s="1"/>
      <c r="J145" s="1"/>
      <c r="K145" s="1"/>
      <c r="L145" s="1"/>
      <c r="M145" s="1"/>
    </row>
    <row r="146" spans="1:13">
      <c r="A146" s="1" t="s">
        <v>31</v>
      </c>
      <c r="B146" s="1"/>
      <c r="C146" s="1" t="s">
        <v>140</v>
      </c>
      <c r="D146" s="1"/>
      <c r="E146" s="1"/>
      <c r="F146" s="1"/>
      <c r="G146" s="1"/>
      <c r="H146" s="1"/>
      <c r="I146" s="1"/>
      <c r="J146" s="1"/>
      <c r="K146" s="1"/>
      <c r="L146" s="1"/>
      <c r="M146" s="1"/>
    </row>
    <row r="147" spans="1:13">
      <c r="A147" s="1" t="s">
        <v>31</v>
      </c>
      <c r="B147" s="1"/>
      <c r="C147" s="1" t="s">
        <v>141</v>
      </c>
      <c r="D147" s="1"/>
      <c r="E147" s="1"/>
      <c r="F147" s="1"/>
      <c r="G147" s="1"/>
      <c r="H147" s="1"/>
      <c r="I147" s="1"/>
      <c r="J147" s="1"/>
      <c r="K147" s="1"/>
      <c r="L147" s="1"/>
      <c r="M147" s="1"/>
    </row>
    <row r="148" spans="1:13">
      <c r="A148" s="1" t="s">
        <v>31</v>
      </c>
      <c r="B148" s="1"/>
      <c r="C148" s="1" t="s">
        <v>142</v>
      </c>
      <c r="D148" s="1"/>
      <c r="E148" s="1"/>
      <c r="F148" s="1"/>
      <c r="G148" s="1"/>
      <c r="H148" s="1"/>
      <c r="I148" s="1"/>
      <c r="J148" s="1"/>
      <c r="K148" s="1"/>
      <c r="L148" s="1"/>
      <c r="M148" s="1"/>
    </row>
    <row r="149" spans="1:13">
      <c r="A149" s="1" t="s">
        <v>31</v>
      </c>
      <c r="B149" s="1"/>
      <c r="C149" s="1" t="s">
        <v>143</v>
      </c>
      <c r="D149" s="1"/>
      <c r="E149" s="1"/>
      <c r="F149" s="1"/>
      <c r="G149" s="1"/>
      <c r="H149" s="1"/>
      <c r="I149" s="1"/>
      <c r="J149" s="1"/>
      <c r="K149" s="1"/>
      <c r="L149" s="1"/>
      <c r="M149" s="1"/>
    </row>
    <row r="150" spans="1:13">
      <c r="A150" s="1" t="s">
        <v>31</v>
      </c>
      <c r="B150" s="1"/>
      <c r="C150" s="1" t="s">
        <v>144</v>
      </c>
      <c r="D150" s="1"/>
      <c r="E150" s="1"/>
      <c r="F150" s="1"/>
      <c r="G150" s="1"/>
      <c r="H150" s="1"/>
      <c r="I150" s="1"/>
      <c r="J150" s="1"/>
      <c r="K150" s="1"/>
      <c r="L150" s="1"/>
      <c r="M150" s="1"/>
    </row>
    <row r="151" spans="1:13">
      <c r="A151" s="1" t="s">
        <v>31</v>
      </c>
      <c r="B151" s="1"/>
      <c r="C151" s="1" t="s">
        <v>145</v>
      </c>
      <c r="D151" s="1"/>
      <c r="E151" s="1"/>
      <c r="F151" s="1"/>
      <c r="G151" s="1"/>
      <c r="H151" s="1"/>
      <c r="I151" s="1"/>
      <c r="J151" s="1"/>
      <c r="K151" s="1"/>
      <c r="L151" s="1"/>
      <c r="M151" s="1"/>
    </row>
    <row r="152" spans="1:13">
      <c r="A152" s="1" t="s">
        <v>31</v>
      </c>
      <c r="B152" s="1"/>
      <c r="C152" s="1" t="s">
        <v>146</v>
      </c>
      <c r="D152" s="1"/>
      <c r="E152" s="1"/>
      <c r="F152" s="1"/>
      <c r="G152" s="1"/>
      <c r="H152" s="1"/>
      <c r="I152" s="1"/>
      <c r="J152" s="1"/>
      <c r="K152" s="1"/>
      <c r="L152" s="1"/>
      <c r="M152" s="1"/>
    </row>
    <row r="153" spans="1:13">
      <c r="A153" s="1" t="s">
        <v>31</v>
      </c>
      <c r="B153" s="1"/>
      <c r="C153" s="1" t="s">
        <v>147</v>
      </c>
      <c r="D153" s="1"/>
      <c r="E153" s="1"/>
      <c r="F153" s="1"/>
      <c r="G153" s="1"/>
      <c r="H153" s="1"/>
      <c r="I153" s="1"/>
      <c r="J153" s="1"/>
      <c r="K153" s="1"/>
      <c r="L153" s="1"/>
      <c r="M153" s="1"/>
    </row>
    <row r="154" spans="1:13">
      <c r="A154" s="2" t="s">
        <v>64</v>
      </c>
      <c r="B154" s="2"/>
      <c r="C154" s="2" t="s">
        <v>148</v>
      </c>
      <c r="D154" s="1"/>
      <c r="E154" s="1"/>
      <c r="F154" s="1"/>
      <c r="G154" s="1"/>
      <c r="H154" s="1"/>
      <c r="I154" s="1"/>
      <c r="J154" s="1"/>
      <c r="K154" s="1"/>
      <c r="L154" s="1"/>
      <c r="M154" s="1"/>
    </row>
    <row r="155" spans="1:13">
      <c r="A155" s="2" t="s">
        <v>64</v>
      </c>
      <c r="B155" s="2"/>
      <c r="C155" s="2" t="s">
        <v>149</v>
      </c>
      <c r="D155" s="1"/>
      <c r="E155" s="1"/>
      <c r="F155" s="1"/>
      <c r="G155" s="1"/>
      <c r="H155" s="1"/>
      <c r="I155" s="1"/>
      <c r="J155" s="1"/>
      <c r="K155" s="1"/>
      <c r="L155" s="1"/>
      <c r="M155" s="1"/>
    </row>
    <row r="156" spans="1:13">
      <c r="A156" s="2" t="s">
        <v>64</v>
      </c>
      <c r="B156" s="2"/>
      <c r="C156" s="2" t="s">
        <v>31</v>
      </c>
      <c r="D156" s="1"/>
      <c r="E156" s="1"/>
      <c r="F156" s="1"/>
      <c r="G156" s="1"/>
      <c r="H156" s="1"/>
      <c r="I156" s="1"/>
      <c r="J156" s="1"/>
      <c r="K156" s="1"/>
      <c r="L156" s="1"/>
      <c r="M156" s="1"/>
    </row>
    <row r="157" spans="1:13">
      <c r="A157" s="1" t="s">
        <v>53</v>
      </c>
      <c r="B157" s="1"/>
      <c r="C157" s="1" t="s">
        <v>150</v>
      </c>
      <c r="D157" s="1"/>
      <c r="E157" s="1"/>
      <c r="F157" s="1"/>
      <c r="G157" s="1"/>
      <c r="H157" s="1"/>
      <c r="I157" s="1"/>
      <c r="J157" s="1"/>
      <c r="K157" s="1"/>
      <c r="L157" s="1"/>
      <c r="M157" s="1"/>
    </row>
    <row r="158" spans="1:13">
      <c r="A158" s="1" t="s">
        <v>53</v>
      </c>
      <c r="B158" s="1"/>
      <c r="C158" s="1" t="s">
        <v>151</v>
      </c>
      <c r="D158" s="1"/>
      <c r="E158" s="1"/>
      <c r="F158" s="1"/>
      <c r="G158" s="1"/>
      <c r="H158" s="1"/>
      <c r="I158" s="1"/>
      <c r="J158" s="1"/>
      <c r="K158" s="1"/>
      <c r="L158" s="1"/>
      <c r="M158" s="1"/>
    </row>
    <row r="159" spans="1:13">
      <c r="A159" s="1" t="s">
        <v>53</v>
      </c>
      <c r="B159" s="1"/>
      <c r="C159" s="1" t="s">
        <v>152</v>
      </c>
      <c r="D159" s="1"/>
      <c r="E159" s="1"/>
      <c r="F159" s="1"/>
      <c r="G159" s="1"/>
      <c r="H159" s="1"/>
      <c r="I159" s="1"/>
      <c r="J159" s="1"/>
      <c r="K159" s="1"/>
      <c r="L159" s="1"/>
      <c r="M159" s="1"/>
    </row>
    <row r="160" spans="1:13">
      <c r="A160" s="1" t="s">
        <v>53</v>
      </c>
      <c r="B160" s="1"/>
      <c r="C160" s="1" t="s">
        <v>148</v>
      </c>
      <c r="D160" s="1"/>
      <c r="E160" s="1"/>
      <c r="F160" s="1"/>
      <c r="G160" s="1"/>
      <c r="H160" s="1"/>
      <c r="I160" s="1"/>
      <c r="J160" s="1"/>
      <c r="K160" s="1"/>
      <c r="L160" s="1"/>
      <c r="M160" s="1"/>
    </row>
    <row r="161" spans="1:13">
      <c r="A161" s="1" t="s">
        <v>53</v>
      </c>
      <c r="B161" s="1"/>
      <c r="C161" s="1" t="s">
        <v>153</v>
      </c>
      <c r="D161" s="1"/>
      <c r="E161" s="1"/>
      <c r="F161" s="1"/>
      <c r="G161" s="1"/>
      <c r="H161" s="1"/>
      <c r="I161" s="1"/>
      <c r="J161" s="1"/>
      <c r="K161" s="1"/>
      <c r="L161" s="1"/>
      <c r="M161" s="1"/>
    </row>
    <row r="162" spans="1:13">
      <c r="A162" s="1" t="s">
        <v>53</v>
      </c>
      <c r="B162" s="1"/>
      <c r="C162" s="1" t="s">
        <v>154</v>
      </c>
      <c r="D162" s="1"/>
      <c r="E162" s="1"/>
      <c r="F162" s="1"/>
      <c r="G162" s="1"/>
      <c r="H162" s="1"/>
      <c r="I162" s="1"/>
      <c r="J162" s="1"/>
      <c r="K162" s="1"/>
      <c r="L162" s="1"/>
      <c r="M162" s="1"/>
    </row>
  </sheetData>
  <autoFilter ref="A1:M47" xr:uid="{A0AC2BD6-9BE2-45DF-91F7-795E89B06557}"/>
  <pageMargins left="0.511811024" right="0.511811024" top="0.78740157499999996" bottom="0.78740157499999996" header="0.31496062000000002" footer="0.31496062000000002"/>
  <headerFooter>
    <oddFooter>&amp;L_x000D_&amp;1#&amp;"Calibri"&amp;7&amp;K000000 ***Este documento está clasificado como USO INTERNO por TELEFÓNICA.
***This document is classified as INTERNAL USE by TELEFÓNICA.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C2BD6-9BE2-45DF-91F7-795E89B06557}">
  <dimension ref="A1:M52"/>
  <sheetViews>
    <sheetView zoomScale="130" zoomScaleNormal="130" workbookViewId="0">
      <pane ySplit="1" topLeftCell="A2" activePane="bottomLeft" state="frozen"/>
      <selection pane="bottomLeft" activeCell="B13" sqref="B13"/>
    </sheetView>
  </sheetViews>
  <sheetFormatPr defaultColWidth="8.85546875" defaultRowHeight="14.45"/>
  <cols>
    <col min="1" max="1" width="23" bestFit="1" customWidth="1"/>
    <col min="2" max="2" width="67.42578125" bestFit="1" customWidth="1"/>
    <col min="3" max="3" width="25.7109375" bestFit="1" customWidth="1"/>
    <col min="4" max="4" width="25.7109375" customWidth="1"/>
    <col min="5" max="5" width="60.42578125" bestFit="1" customWidth="1"/>
    <col min="7" max="7" width="24.7109375" bestFit="1" customWidth="1"/>
    <col min="8" max="8" width="26.28515625" bestFit="1" customWidth="1"/>
    <col min="9" max="9" width="22.28515625" bestFit="1" customWidth="1"/>
    <col min="10" max="10" width="22.85546875" bestFit="1" customWidth="1"/>
    <col min="11" max="11" width="22.7109375" bestFit="1" customWidth="1"/>
    <col min="12" max="12" width="35.28515625" bestFit="1" customWidth="1"/>
    <col min="13" max="13" width="32.42578125" bestFit="1" customWidth="1"/>
  </cols>
  <sheetData>
    <row r="1" spans="1:13">
      <c r="A1" s="1" t="s">
        <v>209</v>
      </c>
      <c r="B1" s="1" t="s">
        <v>41</v>
      </c>
      <c r="C1" s="1" t="s">
        <v>1</v>
      </c>
      <c r="D1" s="1" t="s">
        <v>42</v>
      </c>
      <c r="E1" s="1" t="s">
        <v>155</v>
      </c>
      <c r="G1" s="1" t="s">
        <v>45</v>
      </c>
      <c r="H1" s="1" t="s">
        <v>46</v>
      </c>
      <c r="I1" s="1" t="s">
        <v>47</v>
      </c>
      <c r="J1" s="1" t="s">
        <v>48</v>
      </c>
      <c r="K1" s="1" t="s">
        <v>49</v>
      </c>
      <c r="L1" s="1" t="s">
        <v>51</v>
      </c>
      <c r="M1" s="1" t="s">
        <v>52</v>
      </c>
    </row>
    <row r="2" spans="1:13">
      <c r="A2" s="1" t="s">
        <v>210</v>
      </c>
      <c r="B2" s="1" t="s">
        <v>211</v>
      </c>
      <c r="C2" s="1" t="s">
        <v>96</v>
      </c>
      <c r="D2" s="1"/>
      <c r="E2" s="1" t="s">
        <v>212</v>
      </c>
      <c r="G2" s="1" t="s">
        <v>164</v>
      </c>
      <c r="H2" s="1" t="s">
        <v>160</v>
      </c>
      <c r="I2" s="1" t="s">
        <v>160</v>
      </c>
      <c r="J2" s="1" t="s">
        <v>160</v>
      </c>
      <c r="K2" s="1" t="s">
        <v>160</v>
      </c>
      <c r="L2" s="1" t="s">
        <v>213</v>
      </c>
      <c r="M2" s="1" t="s">
        <v>214</v>
      </c>
    </row>
    <row r="3" spans="1:13" ht="14.25" customHeight="1">
      <c r="A3" s="1" t="s">
        <v>149</v>
      </c>
      <c r="B3" s="1" t="s">
        <v>153</v>
      </c>
      <c r="C3" s="1" t="s">
        <v>215</v>
      </c>
      <c r="D3" s="1"/>
      <c r="E3" s="1" t="s">
        <v>163</v>
      </c>
      <c r="G3" s="1" t="s">
        <v>164</v>
      </c>
      <c r="H3" s="1" t="s">
        <v>160</v>
      </c>
      <c r="I3" s="1" t="s">
        <v>160</v>
      </c>
      <c r="J3" s="1" t="s">
        <v>165</v>
      </c>
      <c r="K3" s="1" t="s">
        <v>165</v>
      </c>
      <c r="L3" s="1"/>
      <c r="M3" s="1"/>
    </row>
    <row r="4" spans="1:13" ht="14.25" customHeight="1">
      <c r="A4" s="1" t="s">
        <v>149</v>
      </c>
      <c r="B4" s="1" t="s">
        <v>153</v>
      </c>
      <c r="C4" s="1" t="s">
        <v>215</v>
      </c>
      <c r="D4" s="1"/>
      <c r="E4" s="1" t="s">
        <v>166</v>
      </c>
      <c r="G4" s="1" t="s">
        <v>164</v>
      </c>
      <c r="H4" s="1" t="s">
        <v>160</v>
      </c>
      <c r="I4" s="1" t="s">
        <v>160</v>
      </c>
      <c r="J4" s="1" t="s">
        <v>165</v>
      </c>
      <c r="K4" s="1" t="s">
        <v>165</v>
      </c>
      <c r="L4" s="1"/>
      <c r="M4" s="1"/>
    </row>
    <row r="5" spans="1:13" ht="14.25" customHeight="1">
      <c r="A5" s="1" t="s">
        <v>149</v>
      </c>
      <c r="B5" s="1" t="s">
        <v>153</v>
      </c>
      <c r="C5" s="1" t="s">
        <v>215</v>
      </c>
      <c r="D5" s="1"/>
      <c r="E5" s="1" t="s">
        <v>167</v>
      </c>
      <c r="G5" s="1" t="s">
        <v>164</v>
      </c>
      <c r="H5" s="1" t="s">
        <v>160</v>
      </c>
      <c r="I5" s="1" t="s">
        <v>160</v>
      </c>
      <c r="J5" s="1" t="s">
        <v>165</v>
      </c>
      <c r="K5" s="1" t="s">
        <v>165</v>
      </c>
      <c r="L5" s="1"/>
      <c r="M5" s="1"/>
    </row>
    <row r="6" spans="1:13" ht="14.25" customHeight="1">
      <c r="A6" s="1" t="s">
        <v>149</v>
      </c>
      <c r="B6" s="1" t="s">
        <v>153</v>
      </c>
      <c r="C6" s="1" t="s">
        <v>216</v>
      </c>
      <c r="D6" s="1"/>
      <c r="E6" s="1" t="s">
        <v>168</v>
      </c>
      <c r="G6" s="1" t="s">
        <v>164</v>
      </c>
      <c r="H6" s="1" t="s">
        <v>160</v>
      </c>
      <c r="I6" s="1" t="s">
        <v>160</v>
      </c>
      <c r="J6" s="1" t="s">
        <v>165</v>
      </c>
      <c r="K6" s="1" t="s">
        <v>165</v>
      </c>
      <c r="L6" s="1"/>
      <c r="M6" s="1"/>
    </row>
    <row r="7" spans="1:13" ht="14.25" customHeight="1">
      <c r="A7" s="1" t="s">
        <v>149</v>
      </c>
      <c r="B7" s="1" t="s">
        <v>153</v>
      </c>
      <c r="C7" s="1" t="s">
        <v>216</v>
      </c>
      <c r="D7" s="1"/>
      <c r="E7" s="1" t="s">
        <v>169</v>
      </c>
      <c r="G7" s="1" t="s">
        <v>164</v>
      </c>
      <c r="H7" s="1" t="s">
        <v>160</v>
      </c>
      <c r="I7" s="1" t="s">
        <v>160</v>
      </c>
      <c r="J7" s="1" t="s">
        <v>165</v>
      </c>
      <c r="K7" s="1" t="s">
        <v>165</v>
      </c>
      <c r="L7" s="1"/>
      <c r="M7" s="1"/>
    </row>
    <row r="8" spans="1:13" ht="14.25" customHeight="1">
      <c r="A8" s="1" t="s">
        <v>149</v>
      </c>
      <c r="B8" s="1" t="s">
        <v>153</v>
      </c>
      <c r="C8" s="1" t="s">
        <v>217</v>
      </c>
      <c r="D8" s="1"/>
      <c r="E8" s="1" t="s">
        <v>167</v>
      </c>
      <c r="G8" s="1" t="s">
        <v>164</v>
      </c>
      <c r="H8" s="1" t="s">
        <v>160</v>
      </c>
      <c r="I8" s="1" t="s">
        <v>160</v>
      </c>
      <c r="J8" s="1" t="s">
        <v>165</v>
      </c>
      <c r="K8" s="1" t="s">
        <v>165</v>
      </c>
      <c r="L8" s="1"/>
      <c r="M8" s="1"/>
    </row>
    <row r="9" spans="1:13" ht="14.25" customHeight="1">
      <c r="A9" s="1" t="s">
        <v>149</v>
      </c>
      <c r="B9" s="1" t="s">
        <v>153</v>
      </c>
      <c r="C9" s="1" t="s">
        <v>217</v>
      </c>
      <c r="D9" s="1"/>
      <c r="E9" s="1" t="s">
        <v>168</v>
      </c>
      <c r="G9" s="1" t="s">
        <v>164</v>
      </c>
      <c r="H9" s="1" t="s">
        <v>160</v>
      </c>
      <c r="I9" s="1" t="s">
        <v>160</v>
      </c>
      <c r="J9" s="1" t="s">
        <v>165</v>
      </c>
      <c r="K9" s="1" t="s">
        <v>165</v>
      </c>
      <c r="L9" s="1"/>
      <c r="M9" s="1"/>
    </row>
    <row r="10" spans="1:13" ht="14.25" customHeight="1">
      <c r="A10" s="1" t="s">
        <v>149</v>
      </c>
      <c r="B10" s="1" t="s">
        <v>153</v>
      </c>
      <c r="C10" s="1" t="s">
        <v>218</v>
      </c>
      <c r="D10" s="1"/>
      <c r="E10" s="1" t="s">
        <v>169</v>
      </c>
      <c r="G10" s="1" t="s">
        <v>164</v>
      </c>
      <c r="H10" s="1"/>
      <c r="I10" s="1"/>
      <c r="J10" s="1"/>
      <c r="K10" s="1"/>
      <c r="L10" s="1"/>
      <c r="M10" s="1"/>
    </row>
    <row r="11" spans="1:13" ht="14.25" customHeight="1">
      <c r="A11" s="1" t="s">
        <v>149</v>
      </c>
      <c r="B11" s="1" t="s">
        <v>153</v>
      </c>
      <c r="C11" s="1" t="s">
        <v>218</v>
      </c>
      <c r="D11" s="1"/>
      <c r="E11" s="1" t="s">
        <v>170</v>
      </c>
      <c r="G11" s="1" t="s">
        <v>164</v>
      </c>
      <c r="H11" s="1"/>
      <c r="I11" s="1"/>
      <c r="J11" s="1"/>
      <c r="K11" s="1"/>
      <c r="L11" s="1"/>
      <c r="M11" s="1"/>
    </row>
    <row r="12" spans="1:13" ht="14.25" customHeight="1">
      <c r="A12" s="1" t="s">
        <v>149</v>
      </c>
      <c r="B12" s="1" t="s">
        <v>153</v>
      </c>
      <c r="C12" s="1" t="s">
        <v>219</v>
      </c>
      <c r="D12" s="1"/>
      <c r="E12" s="1" t="s">
        <v>170</v>
      </c>
      <c r="G12" s="1" t="s">
        <v>164</v>
      </c>
      <c r="H12" s="1"/>
      <c r="I12" s="1"/>
      <c r="J12" s="1"/>
      <c r="K12" s="1"/>
      <c r="L12" s="1"/>
      <c r="M12" s="1"/>
    </row>
    <row r="13" spans="1:13" ht="14.25" customHeight="1">
      <c r="A13" s="1" t="s">
        <v>149</v>
      </c>
      <c r="B13" s="1" t="s">
        <v>153</v>
      </c>
      <c r="C13" s="1" t="s">
        <v>219</v>
      </c>
      <c r="D13" s="1"/>
      <c r="E13" s="1" t="s">
        <v>169</v>
      </c>
      <c r="G13" s="1" t="s">
        <v>164</v>
      </c>
      <c r="H13" s="1"/>
      <c r="I13" s="1"/>
      <c r="J13" s="1"/>
      <c r="K13" s="1"/>
      <c r="L13" s="1"/>
      <c r="M13" s="1"/>
    </row>
    <row r="14" spans="1:13" ht="14.25" customHeight="1">
      <c r="A14" s="1" t="s">
        <v>149</v>
      </c>
      <c r="B14" s="1" t="s">
        <v>153</v>
      </c>
      <c r="C14" s="1" t="s">
        <v>220</v>
      </c>
      <c r="D14" s="1"/>
      <c r="E14" s="1" t="s">
        <v>171</v>
      </c>
      <c r="G14" s="1" t="s">
        <v>164</v>
      </c>
      <c r="H14" s="1"/>
      <c r="I14" s="1"/>
      <c r="J14" s="1"/>
      <c r="K14" s="1"/>
      <c r="L14" s="1"/>
      <c r="M14" s="1"/>
    </row>
    <row r="15" spans="1:13" ht="14.25" customHeight="1">
      <c r="A15" s="1" t="s">
        <v>149</v>
      </c>
      <c r="B15" s="1" t="s">
        <v>153</v>
      </c>
      <c r="C15" s="1" t="s">
        <v>220</v>
      </c>
      <c r="D15" s="1"/>
      <c r="E15" s="1" t="s">
        <v>170</v>
      </c>
      <c r="G15" s="1" t="s">
        <v>164</v>
      </c>
      <c r="H15" s="1"/>
      <c r="I15" s="1"/>
      <c r="J15" s="1"/>
      <c r="K15" s="1"/>
      <c r="L15" s="1"/>
      <c r="M15" s="1"/>
    </row>
    <row r="16" spans="1:13" ht="14.25" customHeight="1">
      <c r="A16" s="1" t="s">
        <v>149</v>
      </c>
      <c r="B16" s="1" t="s">
        <v>153</v>
      </c>
      <c r="C16" s="1" t="s">
        <v>220</v>
      </c>
      <c r="D16" s="1"/>
      <c r="E16" s="1" t="s">
        <v>169</v>
      </c>
      <c r="G16" s="1" t="s">
        <v>164</v>
      </c>
      <c r="H16" s="1"/>
      <c r="I16" s="1"/>
      <c r="J16" s="1"/>
      <c r="K16" s="1"/>
      <c r="L16" s="1"/>
      <c r="M16" s="1"/>
    </row>
    <row r="17" spans="1:13" ht="14.25" customHeight="1">
      <c r="A17" s="1" t="s">
        <v>149</v>
      </c>
      <c r="B17" s="1" t="s">
        <v>153</v>
      </c>
      <c r="C17" s="1" t="s">
        <v>221</v>
      </c>
      <c r="D17" s="1"/>
      <c r="E17" s="1" t="s">
        <v>222</v>
      </c>
      <c r="G17" s="1" t="s">
        <v>164</v>
      </c>
      <c r="H17" s="1"/>
      <c r="I17" s="1"/>
      <c r="J17" s="1"/>
      <c r="K17" s="1"/>
      <c r="L17" s="1"/>
      <c r="M17" s="1"/>
    </row>
    <row r="18" spans="1:13" ht="14.25" customHeight="1">
      <c r="A18" s="1" t="s">
        <v>149</v>
      </c>
      <c r="B18" s="1" t="s">
        <v>153</v>
      </c>
      <c r="C18" s="1" t="s">
        <v>221</v>
      </c>
      <c r="D18" s="1"/>
      <c r="E18" s="1" t="s">
        <v>166</v>
      </c>
      <c r="G18" s="1" t="s">
        <v>164</v>
      </c>
      <c r="H18" s="1"/>
      <c r="I18" s="1"/>
      <c r="J18" s="1"/>
      <c r="K18" s="1"/>
      <c r="L18" s="1"/>
      <c r="M18" s="1"/>
    </row>
    <row r="19" spans="1:13">
      <c r="A19" s="1" t="s">
        <v>149</v>
      </c>
      <c r="B19" s="1" t="s">
        <v>173</v>
      </c>
      <c r="C19" s="1" t="s">
        <v>96</v>
      </c>
      <c r="D19" s="1"/>
      <c r="E19" s="1" t="s">
        <v>174</v>
      </c>
      <c r="G19" s="1"/>
      <c r="H19" s="1"/>
      <c r="I19" s="1"/>
      <c r="J19" s="1"/>
      <c r="K19" s="1"/>
      <c r="L19" s="1"/>
      <c r="M19" s="1"/>
    </row>
    <row r="20" spans="1:13">
      <c r="A20" s="1" t="s">
        <v>149</v>
      </c>
      <c r="B20" s="1" t="s">
        <v>173</v>
      </c>
      <c r="C20" s="1"/>
      <c r="D20" s="1"/>
      <c r="E20" s="1" t="s">
        <v>176</v>
      </c>
      <c r="G20" s="1"/>
      <c r="H20" s="1"/>
      <c r="I20" s="1"/>
      <c r="J20" s="1"/>
      <c r="K20" s="1"/>
      <c r="L20" s="1"/>
      <c r="M20" s="1"/>
    </row>
    <row r="21" spans="1:13">
      <c r="A21" s="1" t="s">
        <v>149</v>
      </c>
      <c r="B21" s="1" t="s">
        <v>177</v>
      </c>
      <c r="C21" s="1"/>
      <c r="D21" s="1"/>
      <c r="E21" s="1"/>
      <c r="G21" s="1"/>
      <c r="H21" s="1"/>
      <c r="I21" s="1"/>
      <c r="J21" s="1"/>
      <c r="K21" s="1"/>
      <c r="L21" s="1"/>
      <c r="M21" s="1"/>
    </row>
    <row r="22" spans="1:13">
      <c r="A22" s="1" t="s">
        <v>149</v>
      </c>
      <c r="B22" s="1" t="s">
        <v>179</v>
      </c>
      <c r="C22" s="1"/>
      <c r="D22" s="1"/>
      <c r="E22" s="1"/>
      <c r="G22" s="1"/>
      <c r="H22" s="1"/>
      <c r="I22" s="1"/>
      <c r="J22" s="1"/>
      <c r="K22" s="1"/>
      <c r="L22" s="1"/>
      <c r="M22" s="1"/>
    </row>
    <row r="23" spans="1:13">
      <c r="A23" s="1" t="s">
        <v>149</v>
      </c>
      <c r="B23" s="1" t="s">
        <v>143</v>
      </c>
      <c r="C23" s="1"/>
      <c r="D23" s="1"/>
      <c r="E23" s="1"/>
      <c r="G23" s="1"/>
      <c r="H23" s="1"/>
      <c r="I23" s="1"/>
      <c r="J23" s="1"/>
      <c r="K23" s="1"/>
      <c r="L23" s="1"/>
      <c r="M23" s="1"/>
    </row>
    <row r="24" spans="1:13">
      <c r="A24" s="1" t="s">
        <v>149</v>
      </c>
      <c r="B24" s="1" t="s">
        <v>182</v>
      </c>
      <c r="C24" s="1"/>
      <c r="D24" s="1"/>
      <c r="E24" s="1"/>
      <c r="G24" s="1"/>
      <c r="H24" s="1"/>
      <c r="I24" s="1"/>
      <c r="J24" s="1"/>
      <c r="K24" s="1"/>
      <c r="L24" s="1"/>
      <c r="M24" s="1"/>
    </row>
    <row r="25" spans="1:13">
      <c r="A25" s="1" t="s">
        <v>149</v>
      </c>
      <c r="B25" s="1" t="s">
        <v>184</v>
      </c>
      <c r="C25" s="1"/>
      <c r="D25" s="1"/>
      <c r="E25" s="1"/>
      <c r="G25" s="1"/>
      <c r="H25" s="1"/>
      <c r="I25" s="1"/>
      <c r="J25" s="1"/>
      <c r="K25" s="1"/>
      <c r="L25" s="1"/>
      <c r="M25" s="1"/>
    </row>
    <row r="26" spans="1:13">
      <c r="A26" s="1" t="s">
        <v>149</v>
      </c>
      <c r="B26" s="1" t="s">
        <v>186</v>
      </c>
      <c r="C26" s="1"/>
      <c r="D26" s="1"/>
      <c r="E26" s="1"/>
      <c r="G26" s="1"/>
      <c r="H26" s="1"/>
      <c r="I26" s="1"/>
      <c r="J26" s="1"/>
      <c r="K26" s="1"/>
      <c r="L26" s="1"/>
      <c r="M26" s="1"/>
    </row>
    <row r="27" spans="1:13">
      <c r="A27" s="1" t="s">
        <v>149</v>
      </c>
      <c r="B27" s="1" t="s">
        <v>188</v>
      </c>
      <c r="C27" s="1"/>
      <c r="D27" s="1"/>
      <c r="E27" s="1"/>
      <c r="G27" s="1"/>
      <c r="H27" s="1"/>
      <c r="I27" s="1"/>
      <c r="J27" s="1"/>
      <c r="K27" s="1"/>
      <c r="L27" s="1"/>
      <c r="M27" s="1"/>
    </row>
    <row r="28" spans="1:13">
      <c r="A28" s="1" t="s">
        <v>149</v>
      </c>
      <c r="B28" s="1" t="s">
        <v>190</v>
      </c>
      <c r="C28" s="1"/>
      <c r="D28" s="1"/>
      <c r="E28" s="1"/>
      <c r="G28" s="1"/>
      <c r="H28" s="1"/>
      <c r="I28" s="1"/>
      <c r="J28" s="1"/>
      <c r="K28" s="1"/>
      <c r="L28" s="1"/>
      <c r="M28" s="1"/>
    </row>
    <row r="29" spans="1:13">
      <c r="A29" s="1" t="s">
        <v>149</v>
      </c>
      <c r="B29" s="1" t="s">
        <v>192</v>
      </c>
      <c r="C29" s="1"/>
      <c r="D29" s="1"/>
      <c r="E29" s="1"/>
      <c r="G29" s="1"/>
      <c r="H29" s="1"/>
      <c r="I29" s="1"/>
      <c r="J29" s="1"/>
      <c r="K29" s="1"/>
      <c r="L29" s="1"/>
      <c r="M29" s="1"/>
    </row>
    <row r="30" spans="1:13">
      <c r="A30" s="1" t="s">
        <v>149</v>
      </c>
      <c r="B30" s="1" t="s">
        <v>194</v>
      </c>
      <c r="C30" s="1"/>
      <c r="D30" s="1"/>
      <c r="E30" s="1"/>
      <c r="G30" s="1"/>
      <c r="H30" s="1"/>
      <c r="I30" s="1"/>
      <c r="J30" s="1"/>
      <c r="K30" s="1"/>
      <c r="L30" s="1"/>
      <c r="M30" s="1"/>
    </row>
    <row r="31" spans="1:13">
      <c r="A31" s="1" t="s">
        <v>149</v>
      </c>
      <c r="B31" s="1" t="s">
        <v>196</v>
      </c>
      <c r="C31" s="1"/>
      <c r="D31" s="1"/>
      <c r="E31" s="1"/>
      <c r="G31" s="1"/>
      <c r="H31" s="1"/>
      <c r="I31" s="1"/>
      <c r="J31" s="1"/>
      <c r="K31" s="1"/>
      <c r="L31" s="1"/>
      <c r="M31" s="1"/>
    </row>
    <row r="32" spans="1:13">
      <c r="A32" s="1" t="s">
        <v>31</v>
      </c>
      <c r="B32" s="1" t="s">
        <v>136</v>
      </c>
      <c r="C32" s="1"/>
      <c r="D32" s="1"/>
      <c r="E32" s="1"/>
      <c r="G32" s="1"/>
      <c r="H32" s="1"/>
      <c r="I32" s="1"/>
      <c r="J32" s="1"/>
      <c r="K32" s="1"/>
      <c r="L32" s="1"/>
      <c r="M32" s="1"/>
    </row>
    <row r="33" spans="1:13">
      <c r="A33" s="1" t="s">
        <v>31</v>
      </c>
      <c r="B33" s="1" t="s">
        <v>137</v>
      </c>
      <c r="C33" s="1"/>
      <c r="D33" s="1"/>
      <c r="E33" s="1"/>
      <c r="G33" s="1"/>
      <c r="H33" s="1"/>
      <c r="I33" s="1"/>
      <c r="J33" s="1"/>
      <c r="K33" s="1"/>
      <c r="L33" s="1"/>
      <c r="M33" s="1"/>
    </row>
    <row r="34" spans="1:13">
      <c r="A34" s="1" t="s">
        <v>31</v>
      </c>
      <c r="B34" s="1" t="s">
        <v>138</v>
      </c>
      <c r="C34" s="1"/>
      <c r="D34" s="1"/>
      <c r="E34" s="1"/>
      <c r="G34" s="1"/>
      <c r="H34" s="1"/>
      <c r="I34" s="1"/>
      <c r="J34" s="1"/>
      <c r="K34" s="1"/>
      <c r="L34" s="1"/>
      <c r="M34" s="1"/>
    </row>
    <row r="35" spans="1:13">
      <c r="A35" s="1" t="s">
        <v>31</v>
      </c>
      <c r="B35" s="1" t="s">
        <v>139</v>
      </c>
      <c r="C35" s="1"/>
      <c r="D35" s="1"/>
      <c r="E35" s="1"/>
      <c r="G35" s="1"/>
      <c r="H35" s="1"/>
      <c r="I35" s="1"/>
      <c r="J35" s="1"/>
      <c r="K35" s="1"/>
      <c r="L35" s="1"/>
      <c r="M35" s="1"/>
    </row>
    <row r="36" spans="1:13">
      <c r="A36" s="1" t="s">
        <v>31</v>
      </c>
      <c r="B36" s="1" t="s">
        <v>140</v>
      </c>
      <c r="C36" s="1"/>
      <c r="D36" s="1"/>
      <c r="E36" s="1"/>
      <c r="G36" s="1"/>
      <c r="H36" s="1"/>
      <c r="I36" s="1"/>
      <c r="J36" s="1"/>
      <c r="K36" s="1"/>
      <c r="L36" s="1"/>
      <c r="M36" s="1"/>
    </row>
    <row r="37" spans="1:13">
      <c r="A37" s="1" t="s">
        <v>31</v>
      </c>
      <c r="B37" s="1" t="s">
        <v>141</v>
      </c>
      <c r="C37" s="1"/>
      <c r="D37" s="1"/>
      <c r="E37" s="1"/>
      <c r="G37" s="1"/>
      <c r="H37" s="1"/>
      <c r="I37" s="1"/>
      <c r="J37" s="1"/>
      <c r="K37" s="1"/>
      <c r="L37" s="1"/>
      <c r="M37" s="1"/>
    </row>
    <row r="38" spans="1:13">
      <c r="A38" s="1" t="s">
        <v>31</v>
      </c>
      <c r="B38" s="1" t="s">
        <v>142</v>
      </c>
      <c r="C38" s="1"/>
      <c r="D38" s="1"/>
      <c r="E38" s="1"/>
      <c r="G38" s="1"/>
      <c r="H38" s="1"/>
      <c r="I38" s="1"/>
      <c r="J38" s="1"/>
      <c r="K38" s="1"/>
      <c r="L38" s="1"/>
      <c r="M38" s="1"/>
    </row>
    <row r="39" spans="1:13">
      <c r="A39" s="1" t="s">
        <v>31</v>
      </c>
      <c r="B39" s="1" t="s">
        <v>143</v>
      </c>
      <c r="C39" s="1"/>
      <c r="D39" s="1"/>
      <c r="E39" s="1"/>
      <c r="G39" s="1"/>
      <c r="H39" s="1"/>
      <c r="I39" s="1"/>
      <c r="J39" s="1"/>
      <c r="K39" s="1"/>
      <c r="L39" s="1"/>
      <c r="M39" s="1"/>
    </row>
    <row r="40" spans="1:13">
      <c r="A40" s="1" t="s">
        <v>31</v>
      </c>
      <c r="B40" s="1" t="s">
        <v>144</v>
      </c>
      <c r="C40" s="1"/>
      <c r="D40" s="1"/>
      <c r="E40" s="1"/>
      <c r="G40" s="1"/>
      <c r="H40" s="1"/>
      <c r="I40" s="1"/>
      <c r="J40" s="1"/>
      <c r="K40" s="1"/>
      <c r="L40" s="1"/>
      <c r="M40" s="1"/>
    </row>
    <row r="41" spans="1:13">
      <c r="A41" s="1" t="s">
        <v>31</v>
      </c>
      <c r="B41" s="1" t="s">
        <v>145</v>
      </c>
      <c r="C41" s="1"/>
      <c r="D41" s="1"/>
      <c r="E41" s="1"/>
      <c r="G41" s="1"/>
      <c r="H41" s="1"/>
      <c r="I41" s="1"/>
      <c r="J41" s="1"/>
      <c r="K41" s="1"/>
      <c r="L41" s="1"/>
      <c r="M41" s="1"/>
    </row>
    <row r="42" spans="1:13">
      <c r="A42" s="1" t="s">
        <v>31</v>
      </c>
      <c r="B42" s="1" t="s">
        <v>146</v>
      </c>
      <c r="C42" s="1"/>
      <c r="D42" s="1"/>
      <c r="E42" s="1"/>
      <c r="G42" s="1"/>
      <c r="H42" s="1"/>
      <c r="I42" s="1"/>
      <c r="J42" s="1"/>
      <c r="K42" s="1"/>
      <c r="L42" s="1"/>
      <c r="M42" s="1"/>
    </row>
    <row r="43" spans="1:13">
      <c r="A43" s="1" t="s">
        <v>31</v>
      </c>
      <c r="B43" s="1" t="s">
        <v>147</v>
      </c>
      <c r="C43" s="1"/>
      <c r="D43" s="1"/>
      <c r="E43" s="1"/>
      <c r="G43" s="1"/>
      <c r="H43" s="1"/>
      <c r="I43" s="1"/>
      <c r="J43" s="1"/>
      <c r="K43" s="1"/>
      <c r="L43" s="1"/>
      <c r="M43" s="1"/>
    </row>
    <row r="44" spans="1:13">
      <c r="A44" s="2" t="s">
        <v>64</v>
      </c>
      <c r="B44" s="2" t="s">
        <v>148</v>
      </c>
      <c r="C44" s="1"/>
      <c r="D44" s="1"/>
      <c r="E44" s="1"/>
      <c r="G44" s="1"/>
      <c r="H44" s="1"/>
      <c r="I44" s="1"/>
      <c r="J44" s="1"/>
      <c r="K44" s="1"/>
      <c r="L44" s="1"/>
      <c r="M44" s="1"/>
    </row>
    <row r="45" spans="1:13">
      <c r="A45" s="2" t="s">
        <v>64</v>
      </c>
      <c r="B45" s="2" t="s">
        <v>149</v>
      </c>
      <c r="C45" s="1"/>
      <c r="D45" s="1"/>
      <c r="E45" s="1"/>
      <c r="G45" s="1"/>
      <c r="H45" s="1"/>
      <c r="I45" s="1"/>
      <c r="J45" s="1"/>
      <c r="K45" s="1"/>
      <c r="L45" s="1"/>
      <c r="M45" s="1"/>
    </row>
    <row r="46" spans="1:13">
      <c r="A46" s="2" t="s">
        <v>64</v>
      </c>
      <c r="B46" s="2" t="s">
        <v>31</v>
      </c>
      <c r="C46" s="1"/>
      <c r="D46" s="1"/>
      <c r="E46" s="1"/>
      <c r="G46" s="1"/>
      <c r="H46" s="1"/>
      <c r="I46" s="1"/>
      <c r="J46" s="1"/>
      <c r="K46" s="1"/>
      <c r="L46" s="1"/>
      <c r="M46" s="1"/>
    </row>
    <row r="47" spans="1:13">
      <c r="A47" s="1" t="s">
        <v>53</v>
      </c>
      <c r="B47" s="1" t="s">
        <v>150</v>
      </c>
      <c r="C47" s="1"/>
      <c r="D47" s="1"/>
      <c r="E47" s="1"/>
      <c r="G47" s="1"/>
      <c r="H47" s="1"/>
      <c r="I47" s="1"/>
      <c r="J47" s="1"/>
      <c r="K47" s="1"/>
      <c r="L47" s="1"/>
      <c r="M47" s="1"/>
    </row>
    <row r="48" spans="1:13">
      <c r="A48" s="1" t="s">
        <v>53</v>
      </c>
      <c r="B48" s="1" t="s">
        <v>151</v>
      </c>
      <c r="C48" s="1"/>
      <c r="D48" s="1"/>
      <c r="E48" s="1"/>
      <c r="G48" s="1"/>
      <c r="H48" s="1"/>
      <c r="I48" s="1"/>
      <c r="J48" s="1"/>
      <c r="K48" s="1"/>
      <c r="L48" s="1"/>
      <c r="M48" s="1"/>
    </row>
    <row r="49" spans="1:13">
      <c r="A49" s="1" t="s">
        <v>53</v>
      </c>
      <c r="B49" s="1" t="s">
        <v>152</v>
      </c>
      <c r="C49" s="1"/>
      <c r="D49" s="1"/>
      <c r="E49" s="1"/>
      <c r="G49" s="1"/>
      <c r="H49" s="1"/>
      <c r="I49" s="1"/>
      <c r="J49" s="1"/>
      <c r="K49" s="1"/>
      <c r="L49" s="1"/>
      <c r="M49" s="1"/>
    </row>
    <row r="50" spans="1:13">
      <c r="A50" s="1" t="s">
        <v>53</v>
      </c>
      <c r="B50" s="1" t="s">
        <v>148</v>
      </c>
      <c r="C50" s="1"/>
      <c r="D50" s="1"/>
      <c r="E50" s="1"/>
      <c r="G50" s="1"/>
      <c r="H50" s="1"/>
      <c r="I50" s="1"/>
      <c r="J50" s="1"/>
      <c r="K50" s="1"/>
      <c r="L50" s="1"/>
      <c r="M50" s="1"/>
    </row>
    <row r="51" spans="1:13">
      <c r="A51" s="1" t="s">
        <v>53</v>
      </c>
      <c r="B51" s="1" t="s">
        <v>153</v>
      </c>
      <c r="C51" s="1"/>
      <c r="D51" s="1"/>
      <c r="E51" s="1"/>
      <c r="G51" s="1"/>
      <c r="H51" s="1"/>
      <c r="I51" s="1"/>
      <c r="J51" s="1"/>
      <c r="K51" s="1"/>
      <c r="L51" s="1"/>
      <c r="M51" s="1"/>
    </row>
    <row r="52" spans="1:13">
      <c r="A52" s="1" t="s">
        <v>53</v>
      </c>
      <c r="B52" s="1" t="s">
        <v>154</v>
      </c>
      <c r="C52" s="1"/>
      <c r="D52" s="1"/>
      <c r="E52" s="1"/>
      <c r="G52" s="1"/>
      <c r="H52" s="1"/>
      <c r="I52" s="1"/>
      <c r="J52" s="1"/>
      <c r="K52" s="1"/>
      <c r="L52" s="1"/>
      <c r="M52" s="1"/>
    </row>
  </sheetData>
  <autoFilter ref="A1:M1" xr:uid="{A0AC2BD6-9BE2-45DF-91F7-795E89B06557}"/>
  <pageMargins left="0.511811024" right="0.511811024" top="0.78740157499999996" bottom="0.78740157499999996" header="0.31496062000000002" footer="0.31496062000000002"/>
  <headerFooter>
    <oddFooter>&amp;L_x000D_&amp;1#&amp;"Calibri"&amp;7&amp;K000000 ***Este documento está clasificado como USO INTERNO por TELEFÓNICA.
***This document is classified as INTERNAL USE by TELEFÓNICA.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3C9C2-2E9E-4BB5-9D00-8286C2B8DD99}">
  <sheetPr>
    <tabColor rgb="FF00B050"/>
  </sheetPr>
  <dimension ref="A1:AE152"/>
  <sheetViews>
    <sheetView zoomScale="130" zoomScaleNormal="130" workbookViewId="0">
      <pane ySplit="1" topLeftCell="A65" activePane="bottomLeft" state="frozen"/>
      <selection pane="bottomLeft" activeCell="A68" sqref="A68"/>
    </sheetView>
  </sheetViews>
  <sheetFormatPr defaultColWidth="8.7109375" defaultRowHeight="35.25" customHeight="1"/>
  <cols>
    <col min="1" max="1" width="82.140625" style="3" customWidth="1"/>
    <col min="2" max="2" width="92.42578125" style="3" customWidth="1"/>
    <col min="3" max="3" width="19.42578125" style="18" bestFit="1" customWidth="1"/>
    <col min="4" max="4" width="19.42578125" style="18" customWidth="1"/>
    <col min="5" max="5" width="19.140625" style="18" bestFit="1" customWidth="1"/>
    <col min="6" max="6" width="19.140625" style="18" customWidth="1"/>
    <col min="7" max="7" width="20.85546875" style="18" bestFit="1" customWidth="1"/>
    <col min="8" max="8" width="19.28515625" style="18" bestFit="1" customWidth="1"/>
    <col min="9" max="9" width="14.42578125" style="18" bestFit="1" customWidth="1"/>
    <col min="10" max="10" width="11.85546875" style="18" bestFit="1" customWidth="1"/>
    <col min="11" max="11" width="8.42578125" style="18" customWidth="1"/>
    <col min="12" max="12" width="9.140625" style="18" bestFit="1" customWidth="1"/>
    <col min="13" max="13" width="9" style="18" bestFit="1" customWidth="1"/>
    <col min="14" max="14" width="46.140625" style="18" customWidth="1"/>
    <col min="15" max="15" width="42.85546875" style="3" customWidth="1"/>
    <col min="16" max="19" width="8.7109375" style="3"/>
    <col min="20" max="20" width="36.42578125" style="3" bestFit="1" customWidth="1"/>
    <col min="21" max="21" width="22.28515625" style="3" bestFit="1" customWidth="1"/>
    <col min="22" max="22" width="23.85546875" style="3" bestFit="1" customWidth="1"/>
    <col min="23" max="23" width="20.7109375" style="3" bestFit="1" customWidth="1"/>
    <col min="24" max="24" width="36.42578125" style="3" bestFit="1" customWidth="1"/>
    <col min="25" max="16384" width="8.7109375" style="3"/>
  </cols>
  <sheetData>
    <row r="1" spans="1:31" ht="35.25" customHeight="1">
      <c r="A1" s="22" t="s">
        <v>0</v>
      </c>
      <c r="B1" s="23" t="s">
        <v>223</v>
      </c>
      <c r="C1" s="23" t="s">
        <v>1</v>
      </c>
      <c r="D1" s="23" t="s">
        <v>224</v>
      </c>
      <c r="E1" s="23" t="s">
        <v>3</v>
      </c>
      <c r="F1" s="23" t="s">
        <v>225</v>
      </c>
      <c r="G1" s="23" t="s">
        <v>4</v>
      </c>
      <c r="H1" s="23" t="s">
        <v>226</v>
      </c>
      <c r="I1" s="23" t="s">
        <v>227</v>
      </c>
      <c r="J1" s="23" t="s">
        <v>5</v>
      </c>
      <c r="K1" s="23" t="s">
        <v>6</v>
      </c>
      <c r="L1" s="23" t="s">
        <v>7</v>
      </c>
      <c r="M1" s="23" t="s">
        <v>8</v>
      </c>
      <c r="N1" s="24" t="s">
        <v>9</v>
      </c>
      <c r="O1" s="24" t="s">
        <v>52</v>
      </c>
    </row>
    <row r="2" spans="1:31" ht="35.25" hidden="1" customHeight="1">
      <c r="A2" s="21" t="s">
        <v>228</v>
      </c>
      <c r="B2" s="21" t="s">
        <v>229</v>
      </c>
      <c r="C2" s="17" t="s">
        <v>230</v>
      </c>
      <c r="D2" s="17" t="str" cm="1">
        <f t="array" ref="D2">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2" s="17" t="s">
        <v>25</v>
      </c>
      <c r="F2" s="17" t="str" cm="1">
        <f t="array" ref="F2">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2" s="17" t="s">
        <v>29</v>
      </c>
      <c r="H2" s="17" t="s">
        <v>231</v>
      </c>
      <c r="I2" s="17" t="s">
        <v>232</v>
      </c>
      <c r="J2" s="17" t="s">
        <v>16</v>
      </c>
      <c r="K2" s="17" t="s">
        <v>16</v>
      </c>
      <c r="L2" s="17" t="s">
        <v>16</v>
      </c>
      <c r="M2" s="17" t="s">
        <v>15</v>
      </c>
      <c r="N2" s="17" t="s">
        <v>233</v>
      </c>
      <c r="O2" s="17" t="s">
        <v>234</v>
      </c>
      <c r="W2" s="20"/>
      <c r="X2" s="19"/>
      <c r="Y2" s="19"/>
      <c r="Z2" s="19"/>
      <c r="AA2" s="20"/>
      <c r="AB2" s="19"/>
      <c r="AC2" s="19"/>
      <c r="AD2" s="19"/>
      <c r="AE2" s="19"/>
    </row>
    <row r="3" spans="1:31" ht="35.25" hidden="1" customHeight="1">
      <c r="A3" s="21" t="s">
        <v>110</v>
      </c>
      <c r="B3" s="21" t="s">
        <v>235</v>
      </c>
      <c r="C3" s="17" t="s">
        <v>230</v>
      </c>
      <c r="D3" s="17" t="str" cm="1">
        <f t="array" ref="D3">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3" s="17" t="s">
        <v>35</v>
      </c>
      <c r="F3" s="17" t="str" cm="1">
        <f t="array" ref="F3">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3" s="17" t="s">
        <v>14</v>
      </c>
      <c r="H3" s="17"/>
      <c r="I3" s="17"/>
      <c r="J3" s="17" t="s">
        <v>16</v>
      </c>
      <c r="K3" s="17" t="s">
        <v>16</v>
      </c>
      <c r="L3" s="17" t="s">
        <v>16</v>
      </c>
      <c r="M3" s="17" t="s">
        <v>15</v>
      </c>
      <c r="N3" s="17" t="s">
        <v>236</v>
      </c>
      <c r="O3" s="17"/>
      <c r="X3" s="19"/>
      <c r="Y3" s="19"/>
      <c r="Z3" s="19"/>
      <c r="AA3" s="20"/>
      <c r="AB3" s="19"/>
      <c r="AC3" s="19"/>
      <c r="AD3" s="19"/>
      <c r="AE3" s="19"/>
    </row>
    <row r="4" spans="1:31" ht="35.25" hidden="1" customHeight="1">
      <c r="A4" s="21" t="s">
        <v>237</v>
      </c>
      <c r="B4" s="21" t="s">
        <v>238</v>
      </c>
      <c r="C4" s="17" t="s">
        <v>230</v>
      </c>
      <c r="D4" s="17" t="str" cm="1">
        <f t="array" ref="D4">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Disponibilidade</v>
      </c>
      <c r="E4" s="17" t="s">
        <v>239</v>
      </c>
      <c r="F4" s="17" t="str" cm="1">
        <f t="array" ref="F4">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Indisponibilidade</v>
      </c>
      <c r="G4" s="17" t="s">
        <v>26</v>
      </c>
      <c r="H4" s="17"/>
      <c r="I4" s="17"/>
      <c r="J4" s="17" t="s">
        <v>15</v>
      </c>
      <c r="K4" s="17" t="s">
        <v>16</v>
      </c>
      <c r="L4" s="17" t="s">
        <v>16</v>
      </c>
      <c r="M4" s="17" t="s">
        <v>16</v>
      </c>
      <c r="N4" s="17" t="s">
        <v>240</v>
      </c>
      <c r="O4" s="17" t="s">
        <v>241</v>
      </c>
      <c r="X4"/>
      <c r="Y4"/>
      <c r="Z4"/>
      <c r="AB4"/>
      <c r="AC4"/>
      <c r="AD4"/>
      <c r="AE4"/>
    </row>
    <row r="5" spans="1:31" ht="35.25" hidden="1" customHeight="1">
      <c r="A5" s="21" t="s">
        <v>242</v>
      </c>
      <c r="B5" s="21" t="s">
        <v>243</v>
      </c>
      <c r="C5" s="17" t="s">
        <v>230</v>
      </c>
      <c r="D5" s="17" t="str" cm="1">
        <f t="array" ref="D5">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5" s="17" t="s">
        <v>35</v>
      </c>
      <c r="F5" s="17" t="str" cm="1">
        <f t="array" ref="F5">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5" s="17" t="s">
        <v>244</v>
      </c>
      <c r="H5" s="17"/>
      <c r="I5" s="17"/>
      <c r="J5" s="17" t="s">
        <v>16</v>
      </c>
      <c r="K5" s="17" t="s">
        <v>16</v>
      </c>
      <c r="L5" s="17" t="s">
        <v>16</v>
      </c>
      <c r="M5" s="17" t="s">
        <v>16</v>
      </c>
      <c r="N5" s="17" t="s">
        <v>245</v>
      </c>
      <c r="O5" s="17" t="s">
        <v>246</v>
      </c>
      <c r="X5"/>
      <c r="Y5"/>
      <c r="Z5"/>
      <c r="AB5"/>
      <c r="AC5"/>
      <c r="AD5"/>
      <c r="AE5"/>
    </row>
    <row r="6" spans="1:31" ht="35.25" hidden="1" customHeight="1">
      <c r="A6" s="21" t="s">
        <v>116</v>
      </c>
      <c r="B6" s="21" t="s">
        <v>247</v>
      </c>
      <c r="C6" s="17" t="s">
        <v>230</v>
      </c>
      <c r="D6" s="17" t="str" cm="1">
        <f t="array" ref="D6">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Disponibilidade</v>
      </c>
      <c r="E6" s="17" t="s">
        <v>239</v>
      </c>
      <c r="F6" s="17" t="str" cm="1">
        <f t="array" ref="F6">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Indisponibilidade</v>
      </c>
      <c r="G6" s="17" t="s">
        <v>14</v>
      </c>
      <c r="H6" s="17"/>
      <c r="I6" s="17"/>
      <c r="J6" s="17" t="s">
        <v>16</v>
      </c>
      <c r="K6" s="17" t="s">
        <v>16</v>
      </c>
      <c r="L6" s="17" t="s">
        <v>16</v>
      </c>
      <c r="M6" s="17" t="s">
        <v>15</v>
      </c>
      <c r="N6" s="17" t="s">
        <v>248</v>
      </c>
      <c r="O6" s="17" t="s">
        <v>249</v>
      </c>
      <c r="X6"/>
      <c r="Y6"/>
      <c r="Z6"/>
      <c r="AB6"/>
      <c r="AC6"/>
      <c r="AD6"/>
      <c r="AE6"/>
    </row>
    <row r="7" spans="1:31" ht="35.25" hidden="1" customHeight="1">
      <c r="A7" s="21" t="s">
        <v>250</v>
      </c>
      <c r="B7" s="21" t="s">
        <v>251</v>
      </c>
      <c r="C7" s="17" t="s">
        <v>230</v>
      </c>
      <c r="D7" s="17" t="str" cm="1">
        <f t="array" ref="D7">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7" s="17" t="s">
        <v>102</v>
      </c>
      <c r="F7" s="17" t="str" cm="1">
        <f t="array" ref="F7">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7" s="17" t="s">
        <v>29</v>
      </c>
      <c r="H7" s="17"/>
      <c r="I7" s="17"/>
      <c r="J7" s="17" t="s">
        <v>16</v>
      </c>
      <c r="K7" s="17" t="s">
        <v>16</v>
      </c>
      <c r="L7" s="17" t="s">
        <v>16</v>
      </c>
      <c r="M7" s="17" t="s">
        <v>15</v>
      </c>
      <c r="N7" s="17" t="s">
        <v>252</v>
      </c>
      <c r="O7" s="17"/>
      <c r="X7"/>
      <c r="Y7"/>
      <c r="Z7"/>
      <c r="AB7"/>
      <c r="AC7"/>
      <c r="AD7"/>
      <c r="AE7"/>
    </row>
    <row r="8" spans="1:31" ht="35.25" hidden="1" customHeight="1">
      <c r="A8" s="21" t="s">
        <v>253</v>
      </c>
      <c r="B8" s="21" t="s">
        <v>254</v>
      </c>
      <c r="C8" s="17" t="s">
        <v>230</v>
      </c>
      <c r="D8" s="17" t="str" cm="1">
        <f t="array" ref="D8">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8" s="17" t="s">
        <v>102</v>
      </c>
      <c r="F8" s="17" t="str" cm="1">
        <f t="array" ref="F8">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8" s="17" t="s">
        <v>23</v>
      </c>
      <c r="H8" s="17"/>
      <c r="I8" s="17"/>
      <c r="J8" s="17" t="s">
        <v>16</v>
      </c>
      <c r="K8" s="17" t="s">
        <v>16</v>
      </c>
      <c r="L8" s="17" t="s">
        <v>16</v>
      </c>
      <c r="M8" s="17" t="s">
        <v>16</v>
      </c>
      <c r="N8" s="17" t="s">
        <v>252</v>
      </c>
      <c r="O8" s="17"/>
      <c r="X8"/>
      <c r="Y8"/>
      <c r="Z8"/>
      <c r="AB8"/>
      <c r="AC8"/>
      <c r="AD8"/>
      <c r="AE8"/>
    </row>
    <row r="9" spans="1:31" ht="35.25" hidden="1" customHeight="1">
      <c r="A9" s="21" t="s">
        <v>255</v>
      </c>
      <c r="B9" s="21" t="s">
        <v>256</v>
      </c>
      <c r="C9" s="17" t="s">
        <v>230</v>
      </c>
      <c r="D9" s="17" t="str" cm="1">
        <f t="array" ref="D9">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9" s="17" t="s">
        <v>102</v>
      </c>
      <c r="F9" s="17" t="str" cm="1">
        <f t="array" ref="F9">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9" s="17" t="s">
        <v>23</v>
      </c>
      <c r="H9" s="17"/>
      <c r="I9" s="17"/>
      <c r="J9" s="17" t="s">
        <v>16</v>
      </c>
      <c r="K9" s="17" t="s">
        <v>16</v>
      </c>
      <c r="L9" s="17" t="s">
        <v>16</v>
      </c>
      <c r="M9" s="17" t="s">
        <v>16</v>
      </c>
      <c r="N9" s="17" t="s">
        <v>252</v>
      </c>
      <c r="O9" s="17"/>
      <c r="X9"/>
      <c r="Y9"/>
      <c r="Z9"/>
      <c r="AB9"/>
      <c r="AC9"/>
      <c r="AD9"/>
      <c r="AE9"/>
    </row>
    <row r="10" spans="1:31" ht="35.25" hidden="1" customHeight="1">
      <c r="A10" s="21" t="s">
        <v>109</v>
      </c>
      <c r="B10" s="21" t="s">
        <v>257</v>
      </c>
      <c r="C10" s="17" t="s">
        <v>230</v>
      </c>
      <c r="D10" s="17" t="str" cm="1">
        <f t="array" ref="D10">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10" s="17" t="s">
        <v>35</v>
      </c>
      <c r="F10" s="17" t="str" cm="1">
        <f t="array" ref="F10">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10" s="17" t="s">
        <v>29</v>
      </c>
      <c r="H10" s="17"/>
      <c r="I10" s="17"/>
      <c r="J10" s="17" t="s">
        <v>16</v>
      </c>
      <c r="K10" s="17" t="s">
        <v>16</v>
      </c>
      <c r="L10" s="17" t="s">
        <v>16</v>
      </c>
      <c r="M10" s="17" t="s">
        <v>16</v>
      </c>
      <c r="N10" s="17" t="s">
        <v>252</v>
      </c>
      <c r="O10" s="17"/>
      <c r="X10"/>
      <c r="Y10"/>
      <c r="Z10"/>
      <c r="AB10"/>
      <c r="AC10"/>
      <c r="AD10"/>
      <c r="AE10"/>
    </row>
    <row r="11" spans="1:31" ht="35.25" hidden="1" customHeight="1">
      <c r="A11" s="21" t="s">
        <v>112</v>
      </c>
      <c r="B11" s="21" t="s">
        <v>258</v>
      </c>
      <c r="C11" s="17" t="s">
        <v>230</v>
      </c>
      <c r="D11" s="17" t="str" cm="1">
        <f t="array" ref="D11">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11" s="17" t="s">
        <v>25</v>
      </c>
      <c r="F11" s="17" t="str" cm="1">
        <f t="array" ref="F11">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11" s="17" t="s">
        <v>259</v>
      </c>
      <c r="H11" s="17"/>
      <c r="I11" s="17"/>
      <c r="J11" s="17" t="s">
        <v>16</v>
      </c>
      <c r="K11" s="17" t="s">
        <v>16</v>
      </c>
      <c r="L11" s="17" t="s">
        <v>16</v>
      </c>
      <c r="M11" s="17" t="s">
        <v>16</v>
      </c>
      <c r="N11" s="17" t="s">
        <v>252</v>
      </c>
      <c r="O11" s="17"/>
      <c r="X11"/>
      <c r="Y11"/>
      <c r="Z11"/>
      <c r="AB11"/>
      <c r="AC11"/>
      <c r="AD11"/>
      <c r="AE11"/>
    </row>
    <row r="12" spans="1:31" ht="35.25" hidden="1" customHeight="1">
      <c r="A12" s="21" t="s">
        <v>260</v>
      </c>
      <c r="B12" s="21" t="s">
        <v>261</v>
      </c>
      <c r="C12" s="17" t="s">
        <v>230</v>
      </c>
      <c r="D12" s="17" t="str" cm="1">
        <f t="array" ref="D12">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Autorização</v>
      </c>
      <c r="E12" s="17" t="s">
        <v>22</v>
      </c>
      <c r="F12" s="17" t="str" cm="1">
        <f t="array" ref="F12">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financeiros/Vazamento de dados</v>
      </c>
      <c r="G12" s="17" t="s">
        <v>26</v>
      </c>
      <c r="H12" s="17"/>
      <c r="I12" s="17"/>
      <c r="J12" s="17" t="s">
        <v>16</v>
      </c>
      <c r="K12" s="17" t="s">
        <v>16</v>
      </c>
      <c r="L12" s="17" t="s">
        <v>16</v>
      </c>
      <c r="M12" s="17" t="s">
        <v>16</v>
      </c>
      <c r="N12" s="17" t="s">
        <v>262</v>
      </c>
      <c r="O12" s="17" t="s">
        <v>263</v>
      </c>
      <c r="X12"/>
      <c r="Y12"/>
      <c r="Z12"/>
      <c r="AB12"/>
      <c r="AC12"/>
      <c r="AD12"/>
      <c r="AE12"/>
    </row>
    <row r="13" spans="1:31" ht="35.25" hidden="1" customHeight="1">
      <c r="A13" s="21" t="s">
        <v>113</v>
      </c>
      <c r="B13" s="21" t="s">
        <v>264</v>
      </c>
      <c r="C13" s="17" t="s">
        <v>120</v>
      </c>
      <c r="D13" s="17" t="str" cm="1">
        <f t="array" ref="D13">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13" s="17" t="s">
        <v>35</v>
      </c>
      <c r="F13" s="17" t="str" cm="1">
        <f t="array" ref="F13">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13" s="17" t="s">
        <v>14</v>
      </c>
      <c r="H13" s="17"/>
      <c r="I13" s="17"/>
      <c r="J13" s="17" t="s">
        <v>16</v>
      </c>
      <c r="K13" s="17" t="s">
        <v>16</v>
      </c>
      <c r="L13" s="17" t="s">
        <v>16</v>
      </c>
      <c r="M13" s="17" t="s">
        <v>16</v>
      </c>
      <c r="N13" s="17"/>
      <c r="O13" s="17"/>
      <c r="X13"/>
      <c r="Y13"/>
      <c r="Z13"/>
      <c r="AB13"/>
      <c r="AC13"/>
      <c r="AD13"/>
      <c r="AE13"/>
    </row>
    <row r="14" spans="1:31" ht="35.25" hidden="1" customHeight="1">
      <c r="A14" s="21" t="s">
        <v>265</v>
      </c>
      <c r="B14" s="21" t="s">
        <v>266</v>
      </c>
      <c r="C14" s="17" t="s">
        <v>218</v>
      </c>
      <c r="D14" s="17" t="str" cm="1">
        <f t="array" ref="D14">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14" s="17" t="s">
        <v>25</v>
      </c>
      <c r="F14" s="17" t="str" cm="1">
        <f t="array" ref="F14">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14" s="17" t="s">
        <v>259</v>
      </c>
      <c r="H14" s="17"/>
      <c r="I14" s="17"/>
      <c r="J14" s="17" t="s">
        <v>16</v>
      </c>
      <c r="K14" s="17" t="s">
        <v>16</v>
      </c>
      <c r="L14" s="17" t="s">
        <v>16</v>
      </c>
      <c r="M14" s="17" t="s">
        <v>16</v>
      </c>
      <c r="N14" s="17" t="s">
        <v>267</v>
      </c>
      <c r="O14" s="17" t="s">
        <v>268</v>
      </c>
      <c r="X14"/>
      <c r="Y14"/>
      <c r="Z14"/>
      <c r="AB14"/>
      <c r="AC14"/>
      <c r="AD14"/>
      <c r="AE14"/>
    </row>
    <row r="15" spans="1:31" ht="35.25" hidden="1" customHeight="1">
      <c r="A15" s="21" t="s">
        <v>108</v>
      </c>
      <c r="B15" s="21" t="s">
        <v>269</v>
      </c>
      <c r="C15" s="17" t="s">
        <v>270</v>
      </c>
      <c r="D15" s="17" t="str" cm="1">
        <f t="array" ref="D15">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Autorização</v>
      </c>
      <c r="E15" s="17" t="s">
        <v>22</v>
      </c>
      <c r="F15" s="17" t="str" cm="1">
        <f t="array" ref="F15">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financeiros/Vazamento de dados</v>
      </c>
      <c r="G15" s="17" t="s">
        <v>271</v>
      </c>
      <c r="H15" s="17"/>
      <c r="I15" s="17"/>
      <c r="J15" s="17" t="s">
        <v>16</v>
      </c>
      <c r="K15" s="17" t="s">
        <v>16</v>
      </c>
      <c r="L15" s="17" t="s">
        <v>16</v>
      </c>
      <c r="M15" s="17" t="s">
        <v>16</v>
      </c>
      <c r="N15" s="17"/>
      <c r="O15" s="17"/>
    </row>
    <row r="16" spans="1:31" ht="35.25" hidden="1" customHeight="1">
      <c r="A16" s="21" t="s">
        <v>111</v>
      </c>
      <c r="B16" s="21" t="s">
        <v>272</v>
      </c>
      <c r="C16" s="17" t="s">
        <v>270</v>
      </c>
      <c r="D16" s="17" t="str" cm="1">
        <f t="array" ref="D16">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Autorização</v>
      </c>
      <c r="E16" s="17" t="s">
        <v>22</v>
      </c>
      <c r="F16" s="17" t="str" cm="1">
        <f t="array" ref="F16">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financeiros/Vazamento de dados</v>
      </c>
      <c r="G16" s="17" t="s">
        <v>271</v>
      </c>
      <c r="H16" s="17"/>
      <c r="I16" s="17"/>
      <c r="J16" s="17" t="s">
        <v>16</v>
      </c>
      <c r="K16" s="17" t="s">
        <v>16</v>
      </c>
      <c r="L16" s="17" t="s">
        <v>16</v>
      </c>
      <c r="M16" s="17" t="s">
        <v>16</v>
      </c>
      <c r="N16" s="17"/>
      <c r="O16" s="17"/>
    </row>
    <row r="17" spans="1:27" ht="35.25" hidden="1" customHeight="1">
      <c r="A17" s="21" t="s">
        <v>273</v>
      </c>
      <c r="B17" s="21" t="s">
        <v>274</v>
      </c>
      <c r="C17" s="17" t="s">
        <v>270</v>
      </c>
      <c r="D17" s="17" t="str" cm="1">
        <f t="array" ref="D17">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17" s="17" t="s">
        <v>102</v>
      </c>
      <c r="F17" s="17" t="str" cm="1">
        <f t="array" ref="F17">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17" s="17" t="s">
        <v>23</v>
      </c>
      <c r="H17" s="17"/>
      <c r="I17" s="17"/>
      <c r="J17" s="17" t="s">
        <v>15</v>
      </c>
      <c r="K17" s="17" t="s">
        <v>16</v>
      </c>
      <c r="L17" s="17" t="s">
        <v>16</v>
      </c>
      <c r="M17" s="17" t="s">
        <v>16</v>
      </c>
      <c r="N17" s="17" t="s">
        <v>275</v>
      </c>
      <c r="O17" s="17" t="s">
        <v>276</v>
      </c>
    </row>
    <row r="18" spans="1:27" ht="35.25" hidden="1" customHeight="1">
      <c r="A18" s="21" t="s">
        <v>277</v>
      </c>
      <c r="B18" s="21" t="s">
        <v>278</v>
      </c>
      <c r="C18" s="17" t="s">
        <v>270</v>
      </c>
      <c r="D18" s="17" t="str" cm="1">
        <f t="array" ref="D18">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Autorização</v>
      </c>
      <c r="E18" s="17" t="s">
        <v>22</v>
      </c>
      <c r="F18" s="17" t="str" cm="1">
        <f t="array" ref="F18">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financeiros/Vazamento de dados</v>
      </c>
      <c r="G18" s="17" t="s">
        <v>23</v>
      </c>
      <c r="H18" s="17"/>
      <c r="I18" s="17"/>
      <c r="J18" s="17" t="s">
        <v>16</v>
      </c>
      <c r="K18" s="17" t="s">
        <v>16</v>
      </c>
      <c r="L18" s="17" t="s">
        <v>16</v>
      </c>
      <c r="M18" s="17" t="s">
        <v>16</v>
      </c>
      <c r="N18" s="17" t="s">
        <v>279</v>
      </c>
      <c r="O18" s="17" t="s">
        <v>280</v>
      </c>
    </row>
    <row r="19" spans="1:27" ht="35.25" hidden="1" customHeight="1">
      <c r="A19" s="25" t="s">
        <v>115</v>
      </c>
      <c r="B19" s="25" t="s">
        <v>281</v>
      </c>
      <c r="C19" s="17" t="s">
        <v>282</v>
      </c>
      <c r="D19" s="17" t="str" cm="1">
        <f t="array" ref="D19">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Contenção</v>
      </c>
      <c r="E19" s="17" t="s">
        <v>20</v>
      </c>
      <c r="F19" s="17" t="str" cm="1">
        <f t="array" ref="F19">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19" s="17" t="s">
        <v>283</v>
      </c>
      <c r="H19" s="17"/>
      <c r="I19" s="17"/>
      <c r="J19" s="17" t="s">
        <v>16</v>
      </c>
      <c r="K19" s="17" t="s">
        <v>16</v>
      </c>
      <c r="L19" s="17" t="s">
        <v>16</v>
      </c>
      <c r="M19" s="17" t="s">
        <v>16</v>
      </c>
      <c r="N19" s="17"/>
      <c r="O19" s="17"/>
    </row>
    <row r="20" spans="1:27" ht="35.25" hidden="1" customHeight="1">
      <c r="A20" s="25" t="s">
        <v>284</v>
      </c>
      <c r="B20" s="25" t="s">
        <v>285</v>
      </c>
      <c r="C20" s="17" t="s">
        <v>156</v>
      </c>
      <c r="D20" s="17" t="str" cm="1">
        <f t="array" ref="D20">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20" s="17" t="s">
        <v>25</v>
      </c>
      <c r="F20" s="17" t="str" cm="1">
        <f t="array" ref="F20">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20" s="17" t="s">
        <v>283</v>
      </c>
      <c r="H20" s="17"/>
      <c r="I20" s="17"/>
      <c r="J20" s="17" t="s">
        <v>16</v>
      </c>
      <c r="K20" s="17" t="s">
        <v>16</v>
      </c>
      <c r="L20" s="17" t="s">
        <v>15</v>
      </c>
      <c r="M20" s="17" t="s">
        <v>15</v>
      </c>
      <c r="N20" s="17"/>
      <c r="O20" s="17"/>
    </row>
    <row r="21" spans="1:27" ht="35.25" hidden="1" customHeight="1">
      <c r="A21" s="25" t="s">
        <v>286</v>
      </c>
      <c r="B21" s="25" t="s">
        <v>287</v>
      </c>
      <c r="C21" s="17" t="s">
        <v>156</v>
      </c>
      <c r="D21" s="17" t="str" cm="1">
        <f t="array" ref="D21">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21" s="17" t="s">
        <v>25</v>
      </c>
      <c r="F21" s="17" t="str" cm="1">
        <f t="array" ref="F21">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21" s="17" t="s">
        <v>26</v>
      </c>
      <c r="H21" s="17"/>
      <c r="I21" s="17"/>
      <c r="J21" s="17" t="s">
        <v>16</v>
      </c>
      <c r="K21" s="17" t="s">
        <v>16</v>
      </c>
      <c r="L21" s="17" t="s">
        <v>16</v>
      </c>
      <c r="M21" s="17" t="s">
        <v>15</v>
      </c>
      <c r="N21" s="17"/>
      <c r="O21" s="17"/>
    </row>
    <row r="22" spans="1:27" ht="35.25" hidden="1" customHeight="1">
      <c r="A22" s="25" t="s">
        <v>108</v>
      </c>
      <c r="B22" s="25" t="s">
        <v>288</v>
      </c>
      <c r="C22" s="17" t="s">
        <v>156</v>
      </c>
      <c r="D22" s="17" t="str" cm="1">
        <f t="array" ref="D22">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Autorização</v>
      </c>
      <c r="E22" s="17" t="s">
        <v>22</v>
      </c>
      <c r="F22" s="17" t="str" cm="1">
        <f t="array" ref="F22">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financeiros/Vazamento de dados</v>
      </c>
      <c r="G22" s="17" t="s">
        <v>271</v>
      </c>
      <c r="H22" s="17"/>
      <c r="I22" s="17"/>
      <c r="J22" s="17" t="s">
        <v>16</v>
      </c>
      <c r="K22" s="17" t="s">
        <v>16</v>
      </c>
      <c r="L22" s="17" t="s">
        <v>16</v>
      </c>
      <c r="M22" s="17" t="s">
        <v>16</v>
      </c>
      <c r="N22" s="17"/>
      <c r="O22" s="17"/>
    </row>
    <row r="23" spans="1:27" ht="35.25" hidden="1" customHeight="1">
      <c r="A23" s="25" t="s">
        <v>289</v>
      </c>
      <c r="B23" s="25" t="s">
        <v>290</v>
      </c>
      <c r="C23" s="17" t="s">
        <v>156</v>
      </c>
      <c r="D23" s="17" t="str" cm="1">
        <f t="array" ref="D23">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23" s="17" t="s">
        <v>25</v>
      </c>
      <c r="F23" s="17" t="str" cm="1">
        <f t="array" ref="F23">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23" s="17" t="s">
        <v>271</v>
      </c>
      <c r="H23" s="17"/>
      <c r="I23" s="17"/>
      <c r="J23" s="17" t="s">
        <v>16</v>
      </c>
      <c r="K23" s="17" t="s">
        <v>16</v>
      </c>
      <c r="L23" s="17" t="s">
        <v>16</v>
      </c>
      <c r="M23" s="17" t="s">
        <v>16</v>
      </c>
      <c r="N23" s="17"/>
      <c r="O23" s="17"/>
    </row>
    <row r="24" spans="1:27" ht="35.25" hidden="1" customHeight="1">
      <c r="A24" s="25" t="s">
        <v>291</v>
      </c>
      <c r="B24" s="25"/>
      <c r="C24" s="17" t="s">
        <v>156</v>
      </c>
      <c r="D24" s="17" t="str" cm="1">
        <f t="array" ref="D24">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24" s="17" t="s">
        <v>35</v>
      </c>
      <c r="F24" s="17" t="str" cm="1">
        <f t="array" ref="F24">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24" s="17" t="s">
        <v>283</v>
      </c>
      <c r="H24" s="17"/>
      <c r="I24" s="17"/>
      <c r="J24" s="17" t="s">
        <v>16</v>
      </c>
      <c r="K24" s="17" t="s">
        <v>16</v>
      </c>
      <c r="L24" s="17" t="s">
        <v>16</v>
      </c>
      <c r="M24" s="17" t="s">
        <v>16</v>
      </c>
      <c r="N24" s="17"/>
      <c r="O24" s="17"/>
    </row>
    <row r="25" spans="1:27" ht="35.25" hidden="1" customHeight="1">
      <c r="A25" s="25" t="s">
        <v>292</v>
      </c>
      <c r="B25" s="25"/>
      <c r="C25" s="17" t="s">
        <v>156</v>
      </c>
      <c r="D25" s="17" t="str" cm="1">
        <f t="array" ref="D25">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25" s="17" t="s">
        <v>25</v>
      </c>
      <c r="F25" s="17" t="str" cm="1">
        <f t="array" ref="F25">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25" s="17" t="s">
        <v>26</v>
      </c>
      <c r="H25" s="17"/>
      <c r="I25" s="17"/>
      <c r="J25" s="17" t="s">
        <v>16</v>
      </c>
      <c r="K25" s="17" t="s">
        <v>16</v>
      </c>
      <c r="L25" s="17" t="s">
        <v>16</v>
      </c>
      <c r="M25" s="17" t="s">
        <v>15</v>
      </c>
      <c r="N25" s="17"/>
      <c r="O25" s="17"/>
    </row>
    <row r="26" spans="1:27" ht="35.25" hidden="1" customHeight="1">
      <c r="A26" s="25" t="s">
        <v>293</v>
      </c>
      <c r="B26" s="25"/>
      <c r="C26" s="17" t="s">
        <v>156</v>
      </c>
      <c r="D26" s="17" t="str" cm="1">
        <f t="array" ref="D26">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26" s="17" t="s">
        <v>102</v>
      </c>
      <c r="F26" s="17" t="str" cm="1">
        <f t="array" ref="F26">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26" s="17" t="s">
        <v>29</v>
      </c>
      <c r="H26" s="17"/>
      <c r="I26" s="17"/>
      <c r="J26" s="17" t="s">
        <v>16</v>
      </c>
      <c r="K26" s="17" t="s">
        <v>16</v>
      </c>
      <c r="L26" s="17" t="s">
        <v>16</v>
      </c>
      <c r="M26" s="17" t="s">
        <v>16</v>
      </c>
      <c r="N26" s="17"/>
      <c r="O26" s="17"/>
    </row>
    <row r="27" spans="1:27" ht="35.25" hidden="1" customHeight="1">
      <c r="A27" s="25" t="s">
        <v>294</v>
      </c>
      <c r="B27" s="25"/>
      <c r="C27" s="17" t="s">
        <v>156</v>
      </c>
      <c r="D27" s="17" t="str" cm="1">
        <f t="array" ref="D27">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Autorização</v>
      </c>
      <c r="E27" s="17" t="s">
        <v>22</v>
      </c>
      <c r="F27" s="17" t="str" cm="1">
        <f t="array" ref="F27">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financeiros/Vazamento de dados</v>
      </c>
      <c r="G27" s="17" t="s">
        <v>26</v>
      </c>
      <c r="H27" s="17"/>
      <c r="I27" s="17"/>
      <c r="J27" s="17" t="s">
        <v>16</v>
      </c>
      <c r="K27" s="17" t="s">
        <v>16</v>
      </c>
      <c r="L27" s="17" t="s">
        <v>15</v>
      </c>
      <c r="M27" s="17" t="s">
        <v>15</v>
      </c>
      <c r="N27" s="17"/>
      <c r="O27" s="17"/>
    </row>
    <row r="28" spans="1:27" ht="35.25" hidden="1" customHeight="1">
      <c r="A28" s="53" t="s">
        <v>295</v>
      </c>
      <c r="B28" s="53"/>
      <c r="C28" s="17" t="s">
        <v>218</v>
      </c>
      <c r="D28" s="17" t="str" cm="1">
        <f t="array" ref="D28">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28" s="17" t="s">
        <v>25</v>
      </c>
      <c r="F28" s="17" t="str" cm="1">
        <f t="array" ref="F28">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28" s="17" t="s">
        <v>259</v>
      </c>
      <c r="H28" s="17"/>
      <c r="I28" s="17"/>
      <c r="J28" s="17" t="s">
        <v>16</v>
      </c>
      <c r="K28" s="17" t="s">
        <v>15</v>
      </c>
      <c r="L28" s="17" t="s">
        <v>15</v>
      </c>
      <c r="M28" s="17" t="s">
        <v>15</v>
      </c>
      <c r="N28" s="17"/>
      <c r="O28" s="17"/>
      <c r="S28" s="27"/>
      <c r="T28" s="54"/>
      <c r="U28" s="54"/>
      <c r="V28" s="54"/>
      <c r="W28" s="54"/>
      <c r="X28" s="54"/>
      <c r="Y28" s="54"/>
      <c r="Z28" s="54"/>
      <c r="AA28" s="54"/>
    </row>
    <row r="29" spans="1:27" ht="35.25" hidden="1" customHeight="1">
      <c r="A29" s="53" t="s">
        <v>296</v>
      </c>
      <c r="B29" s="53"/>
      <c r="C29" s="17" t="s">
        <v>218</v>
      </c>
      <c r="D29" s="17" t="str" cm="1">
        <f t="array" ref="D29">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29" s="17" t="s">
        <v>32</v>
      </c>
      <c r="F29" s="17" t="str" cm="1">
        <f t="array" ref="F29">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29" s="17" t="s">
        <v>26</v>
      </c>
      <c r="H29" s="17"/>
      <c r="I29" s="17"/>
      <c r="J29" s="17" t="s">
        <v>16</v>
      </c>
      <c r="K29" s="17" t="s">
        <v>16</v>
      </c>
      <c r="L29" s="17" t="s">
        <v>15</v>
      </c>
      <c r="M29" s="17" t="s">
        <v>15</v>
      </c>
      <c r="N29" s="17"/>
      <c r="O29" s="17"/>
      <c r="S29" s="27"/>
      <c r="T29" s="54"/>
      <c r="U29" s="54"/>
      <c r="V29" s="54"/>
      <c r="W29" s="54"/>
      <c r="X29" s="54"/>
      <c r="Y29" s="54"/>
      <c r="Z29" s="54"/>
      <c r="AA29" s="54"/>
    </row>
    <row r="30" spans="1:27" ht="35.25" hidden="1" customHeight="1">
      <c r="A30" s="53" t="s">
        <v>297</v>
      </c>
      <c r="B30" s="53"/>
      <c r="C30" s="17" t="s">
        <v>218</v>
      </c>
      <c r="D30" s="17" t="str" cm="1">
        <f t="array" ref="D30">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30" s="17" t="s">
        <v>35</v>
      </c>
      <c r="F30" s="17" t="str" cm="1">
        <f t="array" ref="F30">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30" s="17" t="s">
        <v>23</v>
      </c>
      <c r="H30" s="17"/>
      <c r="I30" s="17"/>
      <c r="J30" s="17" t="s">
        <v>16</v>
      </c>
      <c r="K30" s="17" t="s">
        <v>16</v>
      </c>
      <c r="L30" s="17" t="s">
        <v>15</v>
      </c>
      <c r="M30" s="17" t="s">
        <v>15</v>
      </c>
      <c r="N30" s="17"/>
      <c r="O30" s="17"/>
      <c r="S30" s="27"/>
      <c r="T30" s="54"/>
      <c r="U30" s="54"/>
      <c r="V30" s="54"/>
      <c r="W30" s="54"/>
      <c r="X30" s="54"/>
      <c r="Y30" s="54"/>
      <c r="Z30" s="54"/>
      <c r="AA30" s="54"/>
    </row>
    <row r="31" spans="1:27" ht="35.25" hidden="1" customHeight="1">
      <c r="A31" s="53" t="s">
        <v>298</v>
      </c>
      <c r="B31" s="53"/>
      <c r="C31" s="17" t="s">
        <v>218</v>
      </c>
      <c r="D31" s="17" t="str" cm="1">
        <f t="array" ref="D31">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31" s="17" t="s">
        <v>25</v>
      </c>
      <c r="F31" s="17" t="str" cm="1">
        <f t="array" ref="F31">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31" s="17" t="s">
        <v>244</v>
      </c>
      <c r="H31" s="17"/>
      <c r="I31" s="17"/>
      <c r="J31" s="17" t="s">
        <v>16</v>
      </c>
      <c r="K31" s="17" t="s">
        <v>16</v>
      </c>
      <c r="L31" s="17" t="s">
        <v>15</v>
      </c>
      <c r="M31" s="17" t="s">
        <v>15</v>
      </c>
      <c r="N31" s="17"/>
      <c r="O31" s="17"/>
      <c r="S31" s="27"/>
      <c r="T31" s="54"/>
      <c r="U31" s="54"/>
      <c r="V31" s="54"/>
      <c r="W31" s="54"/>
      <c r="X31" s="54"/>
      <c r="Y31" s="54"/>
      <c r="Z31" s="54"/>
      <c r="AA31" s="54"/>
    </row>
    <row r="32" spans="1:27" ht="35.25" hidden="1" customHeight="1">
      <c r="A32" s="21" t="s">
        <v>295</v>
      </c>
      <c r="B32" s="21"/>
      <c r="C32" s="17" t="s">
        <v>218</v>
      </c>
      <c r="D32" s="17" t="str" cm="1">
        <f t="array" ref="D32">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32" s="17" t="s">
        <v>25</v>
      </c>
      <c r="F32" s="17" t="str" cm="1">
        <f t="array" ref="F32">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32" s="17" t="s">
        <v>259</v>
      </c>
      <c r="H32" s="17"/>
      <c r="I32" s="17"/>
      <c r="J32" s="17" t="s">
        <v>16</v>
      </c>
      <c r="K32" s="17" t="s">
        <v>15</v>
      </c>
      <c r="L32" s="17" t="s">
        <v>15</v>
      </c>
      <c r="M32" s="17" t="s">
        <v>15</v>
      </c>
      <c r="N32" s="17"/>
      <c r="O32" s="17"/>
    </row>
    <row r="33" spans="1:15" ht="35.25" hidden="1" customHeight="1">
      <c r="A33" s="21" t="s">
        <v>296</v>
      </c>
      <c r="B33" s="21"/>
      <c r="C33" s="17" t="s">
        <v>218</v>
      </c>
      <c r="D33" s="17" t="str" cm="1">
        <f t="array" ref="D33">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33" s="17" t="s">
        <v>32</v>
      </c>
      <c r="F33" s="17" t="str" cm="1">
        <f t="array" ref="F33">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33" s="17" t="s">
        <v>26</v>
      </c>
      <c r="H33" s="17"/>
      <c r="I33" s="17"/>
      <c r="J33" s="17" t="s">
        <v>16</v>
      </c>
      <c r="K33" s="17" t="s">
        <v>16</v>
      </c>
      <c r="L33" s="17" t="s">
        <v>15</v>
      </c>
      <c r="M33" s="17" t="s">
        <v>15</v>
      </c>
      <c r="N33" s="17"/>
      <c r="O33" s="17"/>
    </row>
    <row r="34" spans="1:15" ht="35.25" hidden="1" customHeight="1">
      <c r="A34" s="21" t="s">
        <v>297</v>
      </c>
      <c r="B34" s="21"/>
      <c r="C34" s="17" t="s">
        <v>218</v>
      </c>
      <c r="D34" s="17" t="str" cm="1">
        <f t="array" ref="D34">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34" s="17" t="s">
        <v>35</v>
      </c>
      <c r="F34" s="17" t="str" cm="1">
        <f t="array" ref="F34">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34" s="17" t="s">
        <v>23</v>
      </c>
      <c r="H34" s="17"/>
      <c r="I34" s="17"/>
      <c r="J34" s="17" t="s">
        <v>16</v>
      </c>
      <c r="K34" s="17" t="s">
        <v>16</v>
      </c>
      <c r="L34" s="17" t="s">
        <v>15</v>
      </c>
      <c r="M34" s="17" t="s">
        <v>15</v>
      </c>
      <c r="N34" s="17"/>
      <c r="O34" s="17"/>
    </row>
    <row r="35" spans="1:15" ht="35.25" hidden="1" customHeight="1">
      <c r="A35" s="21" t="s">
        <v>298</v>
      </c>
      <c r="B35" s="21"/>
      <c r="C35" s="17" t="s">
        <v>218</v>
      </c>
      <c r="D35" s="17" t="str" cm="1">
        <f t="array" ref="D35">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35" s="17" t="s">
        <v>25</v>
      </c>
      <c r="F35" s="17" t="str" cm="1">
        <f t="array" ref="F35">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35" s="17" t="s">
        <v>244</v>
      </c>
      <c r="H35" s="17"/>
      <c r="I35" s="17"/>
      <c r="J35" s="17" t="s">
        <v>16</v>
      </c>
      <c r="K35" s="17" t="s">
        <v>16</v>
      </c>
      <c r="L35" s="17" t="s">
        <v>15</v>
      </c>
      <c r="M35" s="17" t="s">
        <v>15</v>
      </c>
      <c r="N35" s="17"/>
      <c r="O35" s="17"/>
    </row>
    <row r="36" spans="1:15" ht="35.25" hidden="1" customHeight="1">
      <c r="A36" s="21" t="s">
        <v>299</v>
      </c>
      <c r="B36" s="21"/>
      <c r="C36" s="17" t="s">
        <v>252</v>
      </c>
      <c r="D36" s="17" t="str" cm="1">
        <f t="array" ref="D36">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36" s="17" t="s">
        <v>25</v>
      </c>
      <c r="F36" s="17" t="str" cm="1">
        <f t="array" ref="F36">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36" s="17" t="s">
        <v>259</v>
      </c>
      <c r="H36" s="17"/>
      <c r="I36" s="17"/>
      <c r="J36" s="17" t="s">
        <v>15</v>
      </c>
      <c r="K36" s="17" t="s">
        <v>16</v>
      </c>
      <c r="L36" s="17" t="s">
        <v>16</v>
      </c>
      <c r="M36" s="17" t="s">
        <v>16</v>
      </c>
      <c r="N36" s="17" t="s">
        <v>300</v>
      </c>
      <c r="O36" s="17" t="s">
        <v>301</v>
      </c>
    </row>
    <row r="37" spans="1:15" ht="35.25" hidden="1" customHeight="1">
      <c r="A37" s="21" t="s">
        <v>302</v>
      </c>
      <c r="B37" s="21"/>
      <c r="C37" s="17" t="s">
        <v>270</v>
      </c>
      <c r="D37" s="17" t="str" cm="1">
        <f t="array" ref="D37">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37" s="17" t="s">
        <v>32</v>
      </c>
      <c r="F37" s="17" t="str" cm="1">
        <f t="array" ref="F37">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37" s="17" t="s">
        <v>23</v>
      </c>
      <c r="H37" s="17"/>
      <c r="I37" s="17"/>
      <c r="J37" s="17" t="s">
        <v>16</v>
      </c>
      <c r="K37" s="17" t="s">
        <v>16</v>
      </c>
      <c r="L37" s="17" t="s">
        <v>16</v>
      </c>
      <c r="M37" s="17" t="s">
        <v>16</v>
      </c>
      <c r="N37" s="17" t="s">
        <v>303</v>
      </c>
      <c r="O37" s="17" t="s">
        <v>304</v>
      </c>
    </row>
    <row r="38" spans="1:15" ht="35.25" hidden="1" customHeight="1">
      <c r="A38" s="21" t="s">
        <v>305</v>
      </c>
      <c r="B38" s="21"/>
      <c r="C38" s="17" t="s">
        <v>218</v>
      </c>
      <c r="D38" s="17" t="str" cm="1">
        <f t="array" ref="D38">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38" s="17" t="s">
        <v>35</v>
      </c>
      <c r="F38" s="17" t="str" cm="1">
        <f t="array" ref="F38">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38" s="17" t="s">
        <v>283</v>
      </c>
      <c r="H38" s="17"/>
      <c r="I38" s="17"/>
      <c r="J38" s="17" t="s">
        <v>16</v>
      </c>
      <c r="K38" s="17" t="s">
        <v>16</v>
      </c>
      <c r="L38" s="17" t="s">
        <v>16</v>
      </c>
      <c r="M38" s="17" t="s">
        <v>16</v>
      </c>
      <c r="N38" s="17" t="s">
        <v>306</v>
      </c>
      <c r="O38" s="17" t="s">
        <v>307</v>
      </c>
    </row>
    <row r="39" spans="1:15" ht="35.25" hidden="1" customHeight="1">
      <c r="A39" s="21" t="s">
        <v>115</v>
      </c>
      <c r="B39" s="21"/>
      <c r="C39" s="17" t="s">
        <v>252</v>
      </c>
      <c r="D39" s="17" t="str" cm="1">
        <f t="array" ref="D39">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Contenção</v>
      </c>
      <c r="E39" s="17" t="s">
        <v>20</v>
      </c>
      <c r="F39" s="17" t="str" cm="1">
        <f t="array" ref="F39">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39" s="17" t="s">
        <v>308</v>
      </c>
      <c r="H39" s="17"/>
      <c r="I39" s="17"/>
      <c r="J39" s="17" t="s">
        <v>16</v>
      </c>
      <c r="K39" s="17" t="s">
        <v>16</v>
      </c>
      <c r="L39" s="17" t="s">
        <v>16</v>
      </c>
      <c r="M39" s="17" t="s">
        <v>16</v>
      </c>
      <c r="N39" s="17" t="s">
        <v>309</v>
      </c>
      <c r="O39" s="17" t="s">
        <v>310</v>
      </c>
    </row>
    <row r="40" spans="1:15" ht="35.25" hidden="1" customHeight="1">
      <c r="A40" s="21" t="s">
        <v>311</v>
      </c>
      <c r="B40" s="21"/>
      <c r="C40" s="17" t="s">
        <v>218</v>
      </c>
      <c r="D40" s="17" t="str" cm="1">
        <f t="array" ref="D40">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40" s="17" t="s">
        <v>35</v>
      </c>
      <c r="F40" s="17" t="str" cm="1">
        <f t="array" ref="F40">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40" s="17" t="s">
        <v>14</v>
      </c>
      <c r="H40" s="17"/>
      <c r="I40" s="17"/>
      <c r="J40" s="17" t="s">
        <v>15</v>
      </c>
      <c r="K40" s="17" t="s">
        <v>16</v>
      </c>
      <c r="L40" s="17" t="s">
        <v>16</v>
      </c>
      <c r="M40" s="17" t="s">
        <v>16</v>
      </c>
      <c r="N40" s="17" t="s">
        <v>312</v>
      </c>
      <c r="O40" s="17" t="s">
        <v>313</v>
      </c>
    </row>
    <row r="41" spans="1:15" ht="35.25" hidden="1" customHeight="1">
      <c r="A41" s="21" t="s">
        <v>314</v>
      </c>
      <c r="B41" s="21"/>
      <c r="C41" s="17" t="s">
        <v>315</v>
      </c>
      <c r="D41" s="17" t="str" cm="1">
        <f t="array" ref="D41">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41" s="17" t="s">
        <v>25</v>
      </c>
      <c r="F41" s="17" t="str" cm="1">
        <f t="array" ref="F41">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41" s="17" t="s">
        <v>244</v>
      </c>
      <c r="H41" s="17"/>
      <c r="I41" s="17"/>
      <c r="J41" s="17" t="s">
        <v>16</v>
      </c>
      <c r="K41" s="17" t="s">
        <v>16</v>
      </c>
      <c r="L41" s="17" t="s">
        <v>15</v>
      </c>
      <c r="M41" s="17" t="s">
        <v>15</v>
      </c>
      <c r="N41" s="17" t="s">
        <v>316</v>
      </c>
      <c r="O41" s="17" t="s">
        <v>317</v>
      </c>
    </row>
    <row r="42" spans="1:15" ht="35.25" hidden="1" customHeight="1">
      <c r="A42" s="21" t="s">
        <v>58</v>
      </c>
      <c r="B42" s="21"/>
      <c r="C42" s="17" t="s">
        <v>315</v>
      </c>
      <c r="D42" s="17" t="str" cm="1">
        <f t="array" ref="D42">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42" s="17" t="s">
        <v>102</v>
      </c>
      <c r="F42" s="17" t="str" cm="1">
        <f t="array" ref="F42">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42" s="17" t="s">
        <v>271</v>
      </c>
      <c r="H42" s="17"/>
      <c r="I42" s="17"/>
      <c r="J42" s="17" t="s">
        <v>16</v>
      </c>
      <c r="K42" s="17" t="s">
        <v>16</v>
      </c>
      <c r="L42" s="17" t="s">
        <v>15</v>
      </c>
      <c r="M42" s="17" t="s">
        <v>15</v>
      </c>
      <c r="N42" s="17" t="s">
        <v>318</v>
      </c>
      <c r="O42" s="17"/>
    </row>
    <row r="43" spans="1:15" ht="35.25" hidden="1" customHeight="1">
      <c r="A43" s="21" t="s">
        <v>74</v>
      </c>
      <c r="B43" s="21"/>
      <c r="C43" s="17" t="s">
        <v>315</v>
      </c>
      <c r="D43" s="17" t="str" cm="1">
        <f t="array" ref="D43">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43" s="17" t="s">
        <v>35</v>
      </c>
      <c r="F43" s="17" t="str" cm="1">
        <f t="array" ref="F43">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43" s="17" t="s">
        <v>29</v>
      </c>
      <c r="H43" s="17"/>
      <c r="I43" s="17"/>
      <c r="J43" s="17" t="s">
        <v>16</v>
      </c>
      <c r="K43" s="17" t="s">
        <v>16</v>
      </c>
      <c r="L43" s="17" t="s">
        <v>15</v>
      </c>
      <c r="M43" s="17" t="s">
        <v>15</v>
      </c>
      <c r="N43" s="17" t="s">
        <v>75</v>
      </c>
      <c r="O43" s="17"/>
    </row>
    <row r="44" spans="1:15" ht="35.25" hidden="1" customHeight="1">
      <c r="A44" s="21" t="s">
        <v>72</v>
      </c>
      <c r="B44" s="21"/>
      <c r="C44" s="17" t="s">
        <v>315</v>
      </c>
      <c r="D44" s="17" t="str" cm="1">
        <f t="array" ref="D44">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44" s="17" t="s">
        <v>32</v>
      </c>
      <c r="F44" s="17" t="str" cm="1">
        <f t="array" ref="F44">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44" s="17" t="s">
        <v>33</v>
      </c>
      <c r="H44" s="17"/>
      <c r="I44" s="17"/>
      <c r="J44" s="17" t="s">
        <v>16</v>
      </c>
      <c r="K44" s="17" t="s">
        <v>16</v>
      </c>
      <c r="L44" s="17" t="s">
        <v>15</v>
      </c>
      <c r="M44" s="17" t="s">
        <v>15</v>
      </c>
      <c r="N44" s="17" t="s">
        <v>70</v>
      </c>
      <c r="O44" s="17"/>
    </row>
    <row r="45" spans="1:15" ht="35.25" hidden="1" customHeight="1">
      <c r="A45" s="21" t="s">
        <v>83</v>
      </c>
      <c r="B45" s="21"/>
      <c r="C45" s="17" t="s">
        <v>315</v>
      </c>
      <c r="D45" s="17" t="str" cm="1">
        <f t="array" ref="D45">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45" s="17" t="s">
        <v>102</v>
      </c>
      <c r="F45" s="17" t="str" cm="1">
        <f t="array" ref="F45">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45" s="17" t="s">
        <v>23</v>
      </c>
      <c r="H45" s="17"/>
      <c r="I45" s="17"/>
      <c r="J45" s="17" t="s">
        <v>16</v>
      </c>
      <c r="K45" s="17" t="s">
        <v>16</v>
      </c>
      <c r="L45" s="17" t="s">
        <v>15</v>
      </c>
      <c r="M45" s="17" t="s">
        <v>15</v>
      </c>
      <c r="N45" s="17" t="s">
        <v>319</v>
      </c>
      <c r="O45" s="17"/>
    </row>
    <row r="46" spans="1:15" ht="35.25" hidden="1" customHeight="1">
      <c r="A46" s="21" t="s">
        <v>88</v>
      </c>
      <c r="B46" s="21"/>
      <c r="C46" s="17" t="s">
        <v>315</v>
      </c>
      <c r="D46" s="17" t="str" cm="1">
        <f t="array" ref="D46">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Contenção</v>
      </c>
      <c r="E46" s="17" t="s">
        <v>20</v>
      </c>
      <c r="F46" s="17" t="str" cm="1">
        <f t="array" ref="F46">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46" s="17" t="s">
        <v>14</v>
      </c>
      <c r="H46" s="17"/>
      <c r="I46" s="17"/>
      <c r="J46" s="17" t="s">
        <v>16</v>
      </c>
      <c r="K46" s="17" t="s">
        <v>16</v>
      </c>
      <c r="L46" s="17" t="s">
        <v>15</v>
      </c>
      <c r="M46" s="17" t="s">
        <v>15</v>
      </c>
      <c r="N46" s="17" t="s">
        <v>89</v>
      </c>
      <c r="O46" s="17"/>
    </row>
    <row r="47" spans="1:15" ht="35.25" hidden="1" customHeight="1">
      <c r="A47" s="21" t="s">
        <v>92</v>
      </c>
      <c r="B47" s="21"/>
      <c r="C47" s="17" t="s">
        <v>315</v>
      </c>
      <c r="D47" s="17" t="str" cm="1">
        <f t="array" ref="D47">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47" s="17" t="s">
        <v>102</v>
      </c>
      <c r="F47" s="17" t="str" cm="1">
        <f t="array" ref="F47">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47" s="17" t="s">
        <v>320</v>
      </c>
      <c r="H47" s="17"/>
      <c r="I47" s="17"/>
      <c r="J47" s="17" t="s">
        <v>16</v>
      </c>
      <c r="K47" s="17" t="s">
        <v>16</v>
      </c>
      <c r="L47" s="17" t="s">
        <v>15</v>
      </c>
      <c r="M47" s="17" t="s">
        <v>15</v>
      </c>
      <c r="N47" s="17" t="s">
        <v>94</v>
      </c>
      <c r="O47" s="17"/>
    </row>
    <row r="48" spans="1:15" ht="35.25" hidden="1" customHeight="1">
      <c r="A48" s="21" t="s">
        <v>63</v>
      </c>
      <c r="B48" s="21"/>
      <c r="C48" s="17" t="s">
        <v>315</v>
      </c>
      <c r="D48" s="17" t="str" cm="1">
        <f t="array" ref="D48">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Autorização</v>
      </c>
      <c r="E48" s="17" t="s">
        <v>22</v>
      </c>
      <c r="F48" s="17" t="str" cm="1">
        <f t="array" ref="F48">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financeiros/Vazamento de dados</v>
      </c>
      <c r="G48" s="17" t="s">
        <v>23</v>
      </c>
      <c r="H48" s="17"/>
      <c r="I48" s="17"/>
      <c r="J48" s="17" t="s">
        <v>16</v>
      </c>
      <c r="K48" s="17" t="s">
        <v>16</v>
      </c>
      <c r="L48" s="17" t="s">
        <v>15</v>
      </c>
      <c r="M48" s="17" t="s">
        <v>15</v>
      </c>
      <c r="N48" s="17" t="s">
        <v>321</v>
      </c>
      <c r="O48" s="17" t="s">
        <v>322</v>
      </c>
    </row>
    <row r="49" spans="1:15" ht="35.25" hidden="1" customHeight="1">
      <c r="A49" s="21" t="s">
        <v>323</v>
      </c>
      <c r="B49" s="21"/>
      <c r="C49" s="17" t="s">
        <v>315</v>
      </c>
      <c r="D49" s="17" t="str" cm="1">
        <f t="array" ref="D49">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49" s="17" t="s">
        <v>35</v>
      </c>
      <c r="F49" s="17" t="str" cm="1">
        <f t="array" ref="F49">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49" s="17" t="s">
        <v>26</v>
      </c>
      <c r="H49" s="17"/>
      <c r="I49" s="17"/>
      <c r="J49" s="17" t="s">
        <v>16</v>
      </c>
      <c r="K49" s="17" t="s">
        <v>16</v>
      </c>
      <c r="L49" s="17" t="s">
        <v>15</v>
      </c>
      <c r="M49" s="17" t="s">
        <v>15</v>
      </c>
      <c r="N49" s="17" t="s">
        <v>316</v>
      </c>
      <c r="O49" s="17" t="s">
        <v>324</v>
      </c>
    </row>
    <row r="50" spans="1:15" ht="35.25" hidden="1" customHeight="1">
      <c r="A50" s="21" t="s">
        <v>78</v>
      </c>
      <c r="B50" s="21"/>
      <c r="C50" s="17" t="s">
        <v>315</v>
      </c>
      <c r="D50" s="17" t="str" cm="1">
        <f t="array" ref="D50">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50" s="17" t="s">
        <v>35</v>
      </c>
      <c r="F50" s="17" t="str" cm="1">
        <f t="array" ref="F50">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50" s="17" t="s">
        <v>259</v>
      </c>
      <c r="H50" s="17"/>
      <c r="I50" s="17"/>
      <c r="J50" s="17" t="s">
        <v>16</v>
      </c>
      <c r="K50" s="17" t="s">
        <v>16</v>
      </c>
      <c r="L50" s="17" t="s">
        <v>15</v>
      </c>
      <c r="M50" s="17" t="s">
        <v>15</v>
      </c>
      <c r="N50" s="17" t="s">
        <v>325</v>
      </c>
      <c r="O50" s="17"/>
    </row>
    <row r="51" spans="1:15" ht="35.25" hidden="1" customHeight="1">
      <c r="A51" s="21" t="s">
        <v>326</v>
      </c>
      <c r="B51" s="21"/>
      <c r="C51" s="17" t="s">
        <v>327</v>
      </c>
      <c r="D51" s="17" t="str" cm="1">
        <f t="array" ref="D51">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51" s="17" t="s">
        <v>25</v>
      </c>
      <c r="F51" s="17" t="str" cm="1">
        <f t="array" ref="F51">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51" s="17" t="s">
        <v>26</v>
      </c>
      <c r="H51" s="17"/>
      <c r="I51" s="17"/>
      <c r="J51" s="17" t="s">
        <v>16</v>
      </c>
      <c r="K51" s="17" t="s">
        <v>16</v>
      </c>
      <c r="L51" s="17" t="s">
        <v>16</v>
      </c>
      <c r="M51" s="17" t="s">
        <v>16</v>
      </c>
      <c r="N51" s="17"/>
      <c r="O51" s="17"/>
    </row>
    <row r="52" spans="1:15" ht="35.25" hidden="1" customHeight="1">
      <c r="A52" s="21" t="s">
        <v>328</v>
      </c>
      <c r="B52" s="21"/>
      <c r="C52" s="17" t="s">
        <v>327</v>
      </c>
      <c r="D52" s="17" t="str" cm="1">
        <f t="array" ref="D52">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Autorização</v>
      </c>
      <c r="E52" s="17" t="s">
        <v>22</v>
      </c>
      <c r="F52" s="17" t="str" cm="1">
        <f t="array" ref="F52">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financeiros/Vazamento de dados</v>
      </c>
      <c r="G52" s="17" t="s">
        <v>23</v>
      </c>
      <c r="H52" s="17"/>
      <c r="I52" s="17"/>
      <c r="J52" s="17" t="s">
        <v>16</v>
      </c>
      <c r="K52" s="17" t="s">
        <v>16</v>
      </c>
      <c r="L52" s="17" t="s">
        <v>16</v>
      </c>
      <c r="M52" s="17" t="s">
        <v>16</v>
      </c>
      <c r="N52" s="17"/>
      <c r="O52" s="17"/>
    </row>
    <row r="53" spans="1:15" ht="35.25" hidden="1" customHeight="1">
      <c r="A53" s="21" t="s">
        <v>329</v>
      </c>
      <c r="B53" s="21"/>
      <c r="C53" s="17" t="s">
        <v>327</v>
      </c>
      <c r="D53" s="17" t="str" cm="1">
        <f t="array" ref="D53">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53" s="17" t="s">
        <v>35</v>
      </c>
      <c r="F53" s="17" t="str" cm="1">
        <f t="array" ref="F53">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53" s="17" t="s">
        <v>23</v>
      </c>
      <c r="H53" s="17"/>
      <c r="I53" s="17"/>
      <c r="J53" s="17" t="s">
        <v>16</v>
      </c>
      <c r="K53" s="17" t="s">
        <v>16</v>
      </c>
      <c r="L53" s="17" t="s">
        <v>16</v>
      </c>
      <c r="M53" s="17" t="s">
        <v>16</v>
      </c>
      <c r="N53" s="17"/>
      <c r="O53" s="17"/>
    </row>
    <row r="54" spans="1:15" ht="35.25" hidden="1" customHeight="1">
      <c r="A54" s="21" t="s">
        <v>330</v>
      </c>
      <c r="B54" s="21"/>
      <c r="C54" s="17" t="s">
        <v>327</v>
      </c>
      <c r="D54" s="17" t="str" cm="1">
        <f t="array" ref="D54">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54" s="17" t="s">
        <v>35</v>
      </c>
      <c r="F54" s="17" t="str" cm="1">
        <f t="array" ref="F54">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54" s="17" t="s">
        <v>33</v>
      </c>
      <c r="H54" s="17"/>
      <c r="I54" s="17"/>
      <c r="J54" s="17" t="s">
        <v>16</v>
      </c>
      <c r="K54" s="17" t="s">
        <v>16</v>
      </c>
      <c r="L54" s="17" t="s">
        <v>16</v>
      </c>
      <c r="M54" s="17" t="s">
        <v>16</v>
      </c>
      <c r="N54" s="17"/>
      <c r="O54" s="17"/>
    </row>
    <row r="55" spans="1:15" ht="35.25" hidden="1" customHeight="1">
      <c r="A55" s="21" t="s">
        <v>90</v>
      </c>
      <c r="B55" s="21"/>
      <c r="C55" s="17" t="s">
        <v>327</v>
      </c>
      <c r="D55" s="17" t="str" cm="1">
        <f t="array" ref="D55">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55" s="17" t="s">
        <v>25</v>
      </c>
      <c r="F55" s="17" t="str" cm="1">
        <f t="array" ref="F55">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55" s="17" t="s">
        <v>244</v>
      </c>
      <c r="H55" s="17"/>
      <c r="I55" s="17"/>
      <c r="J55" s="17" t="s">
        <v>16</v>
      </c>
      <c r="K55" s="17" t="s">
        <v>16</v>
      </c>
      <c r="L55" s="17" t="s">
        <v>16</v>
      </c>
      <c r="M55" s="17" t="s">
        <v>16</v>
      </c>
      <c r="N55" s="17"/>
      <c r="O55" s="17"/>
    </row>
    <row r="56" spans="1:15" ht="35.25" hidden="1" customHeight="1">
      <c r="A56" s="21" t="s">
        <v>331</v>
      </c>
      <c r="B56" s="21"/>
      <c r="C56" s="17" t="s">
        <v>327</v>
      </c>
      <c r="D56" s="17" t="str" cm="1">
        <f t="array" ref="D56">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56" s="17" t="s">
        <v>32</v>
      </c>
      <c r="F56" s="17" t="str" cm="1">
        <f t="array" ref="F56">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56" s="17" t="s">
        <v>33</v>
      </c>
      <c r="H56" s="17"/>
      <c r="I56" s="17"/>
      <c r="J56" s="17" t="s">
        <v>16</v>
      </c>
      <c r="K56" s="17" t="s">
        <v>16</v>
      </c>
      <c r="L56" s="17" t="s">
        <v>16</v>
      </c>
      <c r="M56" s="17" t="s">
        <v>16</v>
      </c>
      <c r="N56" s="17"/>
      <c r="O56" s="17"/>
    </row>
    <row r="57" spans="1:15" ht="35.25" hidden="1" customHeight="1">
      <c r="A57" s="21" t="s">
        <v>332</v>
      </c>
      <c r="B57" s="21"/>
      <c r="C57" s="17" t="s">
        <v>327</v>
      </c>
      <c r="D57" s="17" t="str" cm="1">
        <f t="array" ref="D57">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57" s="17" t="s">
        <v>25</v>
      </c>
      <c r="F57" s="17" t="str" cm="1">
        <f t="array" ref="F57">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57" s="17" t="s">
        <v>23</v>
      </c>
      <c r="H57" s="17"/>
      <c r="I57" s="17"/>
      <c r="J57" s="17" t="s">
        <v>16</v>
      </c>
      <c r="K57" s="17" t="s">
        <v>16</v>
      </c>
      <c r="L57" s="17" t="s">
        <v>16</v>
      </c>
      <c r="M57" s="17" t="s">
        <v>16</v>
      </c>
      <c r="N57" s="17"/>
      <c r="O57" s="17"/>
    </row>
    <row r="58" spans="1:15" ht="35.25" hidden="1" customHeight="1">
      <c r="A58" s="21" t="s">
        <v>333</v>
      </c>
      <c r="B58" s="21"/>
      <c r="C58" s="17" t="s">
        <v>327</v>
      </c>
      <c r="D58" s="17" t="str" cm="1">
        <f t="array" ref="D58">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Disponibilidade</v>
      </c>
      <c r="E58" s="17" t="s">
        <v>239</v>
      </c>
      <c r="F58" s="17" t="str" cm="1">
        <f t="array" ref="F58">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Indisponibilidade</v>
      </c>
      <c r="G58" s="17" t="s">
        <v>26</v>
      </c>
      <c r="H58" s="17"/>
      <c r="I58" s="17"/>
      <c r="J58" s="17" t="s">
        <v>16</v>
      </c>
      <c r="K58" s="17" t="s">
        <v>16</v>
      </c>
      <c r="L58" s="17" t="s">
        <v>16</v>
      </c>
      <c r="M58" s="17" t="s">
        <v>16</v>
      </c>
      <c r="N58" s="17"/>
      <c r="O58" s="17"/>
    </row>
    <row r="59" spans="1:15" ht="35.25" hidden="1" customHeight="1">
      <c r="A59" s="21" t="s">
        <v>334</v>
      </c>
      <c r="B59" s="21"/>
      <c r="C59" s="17" t="s">
        <v>327</v>
      </c>
      <c r="D59" s="17" t="str" cm="1">
        <f t="array" ref="D59">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59" s="17" t="s">
        <v>25</v>
      </c>
      <c r="F59" s="17" t="str" cm="1">
        <f t="array" ref="F59">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59" s="17" t="s">
        <v>244</v>
      </c>
      <c r="H59" s="17"/>
      <c r="I59" s="17"/>
      <c r="J59" s="17" t="s">
        <v>16</v>
      </c>
      <c r="K59" s="17" t="s">
        <v>16</v>
      </c>
      <c r="L59" s="17" t="s">
        <v>16</v>
      </c>
      <c r="M59" s="17" t="s">
        <v>15</v>
      </c>
      <c r="N59" s="17"/>
      <c r="O59" s="17"/>
    </row>
    <row r="60" spans="1:15" ht="35.25" hidden="1" customHeight="1">
      <c r="A60" s="21" t="s">
        <v>335</v>
      </c>
      <c r="B60" s="21"/>
      <c r="C60" s="17" t="s">
        <v>327</v>
      </c>
      <c r="D60" s="17" t="str" cm="1">
        <f t="array" ref="D60">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60" s="17" t="s">
        <v>102</v>
      </c>
      <c r="F60" s="17" t="str" cm="1">
        <f t="array" ref="F60">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60" s="17"/>
      <c r="H60" s="17"/>
      <c r="I60" s="17"/>
      <c r="J60" s="17" t="s">
        <v>16</v>
      </c>
      <c r="K60" s="17" t="s">
        <v>16</v>
      </c>
      <c r="L60" s="17" t="s">
        <v>16</v>
      </c>
      <c r="M60" s="17" t="s">
        <v>16</v>
      </c>
      <c r="N60" s="17"/>
      <c r="O60" s="17"/>
    </row>
    <row r="61" spans="1:15" ht="35.25" hidden="1" customHeight="1">
      <c r="A61" s="21" t="s">
        <v>336</v>
      </c>
      <c r="B61" s="21"/>
      <c r="C61" s="17" t="s">
        <v>327</v>
      </c>
      <c r="D61" s="17" t="str" cm="1">
        <f t="array" ref="D61">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61" s="17" t="s">
        <v>102</v>
      </c>
      <c r="F61" s="17" t="str" cm="1">
        <f t="array" ref="F61">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61" s="17" t="s">
        <v>29</v>
      </c>
      <c r="H61" s="17"/>
      <c r="I61" s="17"/>
      <c r="J61" s="17" t="s">
        <v>16</v>
      </c>
      <c r="K61" s="17" t="s">
        <v>16</v>
      </c>
      <c r="L61" s="17" t="s">
        <v>16</v>
      </c>
      <c r="M61" s="17" t="s">
        <v>16</v>
      </c>
      <c r="N61" s="17"/>
      <c r="O61" s="17"/>
    </row>
    <row r="62" spans="1:15" ht="35.25" hidden="1" customHeight="1">
      <c r="A62" s="21" t="s">
        <v>337</v>
      </c>
      <c r="B62" s="21"/>
      <c r="C62" s="17" t="s">
        <v>327</v>
      </c>
      <c r="D62" s="17" t="str" cm="1">
        <f t="array" ref="D62">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62" s="17" t="s">
        <v>25</v>
      </c>
      <c r="F62" s="17" t="str" cm="1">
        <f t="array" ref="F62">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62" s="17" t="s">
        <v>26</v>
      </c>
      <c r="H62" s="17"/>
      <c r="I62" s="17"/>
      <c r="J62" s="17" t="s">
        <v>16</v>
      </c>
      <c r="K62" s="17" t="s">
        <v>16</v>
      </c>
      <c r="L62" s="17" t="s">
        <v>16</v>
      </c>
      <c r="M62" s="17" t="s">
        <v>16</v>
      </c>
      <c r="N62" s="17"/>
      <c r="O62" s="17"/>
    </row>
    <row r="63" spans="1:15" ht="35.25" hidden="1" customHeight="1">
      <c r="A63" s="21" t="s">
        <v>338</v>
      </c>
      <c r="B63" s="21" t="s">
        <v>339</v>
      </c>
      <c r="C63" s="17" t="s">
        <v>340</v>
      </c>
      <c r="D63" s="17" t="str" cm="1">
        <f t="array" ref="D63">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63" s="17" t="s">
        <v>32</v>
      </c>
      <c r="F63" s="17" t="str" cm="1">
        <f t="array" ref="F63">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63" s="17" t="s">
        <v>33</v>
      </c>
      <c r="H63" s="17" t="s">
        <v>231</v>
      </c>
      <c r="I63" s="17" t="s">
        <v>341</v>
      </c>
      <c r="J63" s="17" t="s">
        <v>16</v>
      </c>
      <c r="K63" s="17" t="s">
        <v>16</v>
      </c>
      <c r="L63" s="17" t="s">
        <v>16</v>
      </c>
      <c r="M63" s="17" t="s">
        <v>16</v>
      </c>
      <c r="N63" s="17"/>
      <c r="O63" s="17"/>
    </row>
    <row r="64" spans="1:15" ht="35.25" hidden="1" customHeight="1">
      <c r="A64" s="21" t="s">
        <v>342</v>
      </c>
      <c r="B64" s="21" t="s">
        <v>343</v>
      </c>
      <c r="C64" s="17" t="s">
        <v>340</v>
      </c>
      <c r="D64" s="17" t="str" cm="1">
        <f t="array" ref="D64">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64" s="17" t="s">
        <v>32</v>
      </c>
      <c r="F64" s="17" t="str" cm="1">
        <f t="array" ref="F64">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64" s="17" t="s">
        <v>33</v>
      </c>
      <c r="H64" s="17" t="s">
        <v>231</v>
      </c>
      <c r="I64" s="17" t="s">
        <v>341</v>
      </c>
      <c r="J64" s="17" t="s">
        <v>16</v>
      </c>
      <c r="K64" s="17" t="s">
        <v>16</v>
      </c>
      <c r="L64" s="17" t="s">
        <v>16</v>
      </c>
      <c r="M64" s="17" t="s">
        <v>16</v>
      </c>
      <c r="N64" s="17"/>
      <c r="O64" s="17"/>
    </row>
    <row r="65" spans="1:15" ht="35.25" hidden="1" customHeight="1">
      <c r="A65" s="21" t="s">
        <v>344</v>
      </c>
      <c r="B65" s="21" t="s">
        <v>345</v>
      </c>
      <c r="C65" s="17" t="s">
        <v>340</v>
      </c>
      <c r="D65" s="17" t="str" cm="1">
        <f t="array" ref="D65">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65" s="17" t="s">
        <v>32</v>
      </c>
      <c r="F65" s="17" t="str" cm="1">
        <f t="array" ref="F65">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65" s="17" t="s">
        <v>33</v>
      </c>
      <c r="H65" s="17" t="s">
        <v>231</v>
      </c>
      <c r="I65" s="17" t="s">
        <v>341</v>
      </c>
      <c r="J65" s="17" t="s">
        <v>16</v>
      </c>
      <c r="K65" s="17" t="s">
        <v>16</v>
      </c>
      <c r="L65" s="17" t="s">
        <v>16</v>
      </c>
      <c r="M65" s="17" t="s">
        <v>16</v>
      </c>
      <c r="N65" s="17"/>
      <c r="O65" s="17"/>
    </row>
    <row r="66" spans="1:15" ht="35.25" hidden="1" customHeight="1">
      <c r="A66" s="21" t="s">
        <v>346</v>
      </c>
      <c r="B66" s="21" t="s">
        <v>347</v>
      </c>
      <c r="C66" s="17" t="s">
        <v>340</v>
      </c>
      <c r="D66" s="17" t="str" cm="1">
        <f t="array" ref="D66">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66" s="17" t="s">
        <v>32</v>
      </c>
      <c r="F66" s="17" t="str" cm="1">
        <f t="array" ref="F66">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66" s="17" t="s">
        <v>29</v>
      </c>
      <c r="H66" s="17" t="s">
        <v>231</v>
      </c>
      <c r="I66" s="17" t="s">
        <v>341</v>
      </c>
      <c r="J66" s="17" t="s">
        <v>16</v>
      </c>
      <c r="K66" s="17" t="s">
        <v>16</v>
      </c>
      <c r="L66" s="17" t="s">
        <v>16</v>
      </c>
      <c r="M66" s="17" t="s">
        <v>16</v>
      </c>
      <c r="N66" s="17" t="s">
        <v>348</v>
      </c>
      <c r="O66" s="17"/>
    </row>
    <row r="67" spans="1:15" ht="35.25" hidden="1" customHeight="1">
      <c r="A67" s="21" t="s">
        <v>349</v>
      </c>
      <c r="B67" s="21" t="s">
        <v>350</v>
      </c>
      <c r="C67" s="17" t="s">
        <v>340</v>
      </c>
      <c r="D67" s="17" t="str" cm="1">
        <f t="array" ref="D67">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67" s="17" t="s">
        <v>32</v>
      </c>
      <c r="F67" s="17" t="str" cm="1">
        <f t="array" ref="F67">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67" s="17" t="s">
        <v>33</v>
      </c>
      <c r="H67" s="17" t="s">
        <v>231</v>
      </c>
      <c r="I67" s="17" t="s">
        <v>341</v>
      </c>
      <c r="J67" s="17" t="s">
        <v>16</v>
      </c>
      <c r="K67" s="17" t="s">
        <v>16</v>
      </c>
      <c r="L67" s="17" t="s">
        <v>16</v>
      </c>
      <c r="M67" s="17" t="s">
        <v>16</v>
      </c>
      <c r="N67" s="17"/>
      <c r="O67" s="17"/>
    </row>
    <row r="68" spans="1:15" ht="35.25" hidden="1" customHeight="1">
      <c r="A68" s="21" t="s">
        <v>351</v>
      </c>
      <c r="B68" s="21" t="s">
        <v>352</v>
      </c>
      <c r="C68" s="17" t="s">
        <v>340</v>
      </c>
      <c r="D68" s="17" t="str" cm="1">
        <f t="array" ref="D68">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68" s="17" t="s">
        <v>32</v>
      </c>
      <c r="F68" s="17" t="str" cm="1">
        <f t="array" ref="F68">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68" s="17" t="s">
        <v>33</v>
      </c>
      <c r="H68" s="17" t="s">
        <v>231</v>
      </c>
      <c r="I68" s="17" t="s">
        <v>341</v>
      </c>
      <c r="J68" s="17" t="s">
        <v>16</v>
      </c>
      <c r="K68" s="17" t="s">
        <v>16</v>
      </c>
      <c r="L68" s="17" t="s">
        <v>16</v>
      </c>
      <c r="M68" s="17" t="s">
        <v>16</v>
      </c>
      <c r="N68" s="17"/>
      <c r="O68" s="17"/>
    </row>
    <row r="69" spans="1:15" ht="35.25" hidden="1" customHeight="1">
      <c r="A69" s="21" t="s">
        <v>353</v>
      </c>
      <c r="B69" s="21" t="s">
        <v>354</v>
      </c>
      <c r="C69" s="17" t="s">
        <v>340</v>
      </c>
      <c r="D69" s="17" t="str" cm="1">
        <f t="array" ref="D69">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69" s="17" t="s">
        <v>32</v>
      </c>
      <c r="F69" s="17" t="str" cm="1">
        <f t="array" ref="F69">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69" s="17" t="s">
        <v>14</v>
      </c>
      <c r="H69" s="17" t="s">
        <v>231</v>
      </c>
      <c r="I69" s="17" t="s">
        <v>341</v>
      </c>
      <c r="J69" s="17" t="s">
        <v>16</v>
      </c>
      <c r="K69" s="17" t="s">
        <v>16</v>
      </c>
      <c r="L69" s="17" t="s">
        <v>16</v>
      </c>
      <c r="M69" s="17" t="s">
        <v>16</v>
      </c>
      <c r="N69" s="17"/>
      <c r="O69" s="17"/>
    </row>
    <row r="70" spans="1:15" ht="35.25" hidden="1" customHeight="1">
      <c r="A70" s="21" t="s">
        <v>355</v>
      </c>
      <c r="B70" s="21" t="s">
        <v>356</v>
      </c>
      <c r="C70" s="17" t="s">
        <v>340</v>
      </c>
      <c r="D70" s="17" t="str" cm="1">
        <f t="array" ref="D70">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70" s="17" t="s">
        <v>35</v>
      </c>
      <c r="F70" s="17" t="str" cm="1">
        <f t="array" ref="F70">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70" s="17" t="s">
        <v>29</v>
      </c>
      <c r="H70" s="17" t="s">
        <v>231</v>
      </c>
      <c r="I70" s="17" t="s">
        <v>357</v>
      </c>
      <c r="J70" s="17" t="s">
        <v>16</v>
      </c>
      <c r="K70" s="17" t="s">
        <v>16</v>
      </c>
      <c r="L70" s="17" t="s">
        <v>16</v>
      </c>
      <c r="M70" s="17" t="s">
        <v>16</v>
      </c>
      <c r="N70" s="17"/>
      <c r="O70" s="17"/>
    </row>
    <row r="71" spans="1:15" ht="35.25" hidden="1" customHeight="1">
      <c r="A71" s="21" t="s">
        <v>358</v>
      </c>
      <c r="B71" s="21" t="s">
        <v>359</v>
      </c>
      <c r="C71" s="17" t="s">
        <v>340</v>
      </c>
      <c r="D71" s="17" t="str" cm="1">
        <f t="array" ref="D71">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Autorização</v>
      </c>
      <c r="E71" s="17" t="s">
        <v>22</v>
      </c>
      <c r="F71" s="17" t="str" cm="1">
        <f t="array" ref="F71">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financeiros/Vazamento de dados</v>
      </c>
      <c r="G71" s="17" t="s">
        <v>271</v>
      </c>
      <c r="H71" s="17" t="s">
        <v>231</v>
      </c>
      <c r="I71" s="17" t="s">
        <v>341</v>
      </c>
      <c r="J71" s="17" t="s">
        <v>16</v>
      </c>
      <c r="K71" s="17" t="s">
        <v>16</v>
      </c>
      <c r="L71" s="17" t="s">
        <v>16</v>
      </c>
      <c r="M71" s="17" t="s">
        <v>16</v>
      </c>
      <c r="N71" s="17"/>
      <c r="O71" s="17"/>
    </row>
    <row r="72" spans="1:15" ht="35.25" hidden="1" customHeight="1">
      <c r="A72" s="21" t="s">
        <v>360</v>
      </c>
      <c r="B72" s="21" t="s">
        <v>361</v>
      </c>
      <c r="C72" s="17" t="s">
        <v>340</v>
      </c>
      <c r="D72" s="17" t="str" cm="1">
        <f t="array" ref="D72">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72" s="17" t="s">
        <v>32</v>
      </c>
      <c r="F72" s="17" t="str" cm="1">
        <f t="array" ref="F72">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72" s="17" t="s">
        <v>33</v>
      </c>
      <c r="H72" s="17" t="s">
        <v>231</v>
      </c>
      <c r="I72" s="17" t="s">
        <v>341</v>
      </c>
      <c r="J72" s="17" t="s">
        <v>16</v>
      </c>
      <c r="K72" s="17" t="s">
        <v>16</v>
      </c>
      <c r="L72" s="17" t="s">
        <v>16</v>
      </c>
      <c r="M72" s="17" t="s">
        <v>16</v>
      </c>
      <c r="N72" s="17"/>
      <c r="O72" s="17"/>
    </row>
    <row r="73" spans="1:15" ht="35.25" hidden="1" customHeight="1">
      <c r="A73" s="21" t="s">
        <v>362</v>
      </c>
      <c r="B73" s="21" t="s">
        <v>363</v>
      </c>
      <c r="C73" s="17" t="s">
        <v>340</v>
      </c>
      <c r="D73" s="17" t="str" cm="1">
        <f t="array" ref="D73">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73" s="17" t="s">
        <v>32</v>
      </c>
      <c r="F73" s="17" t="str" cm="1">
        <f t="array" ref="F73">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73" s="17" t="s">
        <v>33</v>
      </c>
      <c r="H73" s="17" t="s">
        <v>231</v>
      </c>
      <c r="I73" s="17" t="s">
        <v>364</v>
      </c>
      <c r="J73" s="17" t="s">
        <v>16</v>
      </c>
      <c r="K73" s="17" t="s">
        <v>16</v>
      </c>
      <c r="L73" s="17" t="s">
        <v>16</v>
      </c>
      <c r="M73" s="17" t="s">
        <v>16</v>
      </c>
      <c r="N73" s="17"/>
      <c r="O73" s="17"/>
    </row>
    <row r="74" spans="1:15" ht="35.25" hidden="1" customHeight="1">
      <c r="A74" s="21" t="s">
        <v>365</v>
      </c>
      <c r="B74" s="21" t="s">
        <v>366</v>
      </c>
      <c r="C74" s="17" t="s">
        <v>340</v>
      </c>
      <c r="D74" s="17" t="str" cm="1">
        <f t="array" ref="D74">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74" s="17" t="s">
        <v>32</v>
      </c>
      <c r="F74" s="17" t="str" cm="1">
        <f t="array" ref="F74">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74" s="17" t="s">
        <v>33</v>
      </c>
      <c r="H74" s="17" t="s">
        <v>231</v>
      </c>
      <c r="I74" s="17" t="s">
        <v>364</v>
      </c>
      <c r="J74" s="17" t="s">
        <v>16</v>
      </c>
      <c r="K74" s="17" t="s">
        <v>16</v>
      </c>
      <c r="L74" s="17" t="s">
        <v>16</v>
      </c>
      <c r="M74" s="17" t="s">
        <v>16</v>
      </c>
      <c r="N74" s="17"/>
      <c r="O74" s="17"/>
    </row>
    <row r="75" spans="1:15" ht="35.25" hidden="1" customHeight="1">
      <c r="A75" s="21" t="s">
        <v>367</v>
      </c>
      <c r="B75" s="21" t="s">
        <v>368</v>
      </c>
      <c r="C75" s="17" t="s">
        <v>340</v>
      </c>
      <c r="D75" s="17" t="str" cm="1">
        <f t="array" ref="D75">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75" s="17" t="s">
        <v>32</v>
      </c>
      <c r="F75" s="17" t="str" cm="1">
        <f t="array" ref="F75">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75" s="17" t="s">
        <v>33</v>
      </c>
      <c r="H75" s="17" t="s">
        <v>231</v>
      </c>
      <c r="I75" s="17" t="s">
        <v>364</v>
      </c>
      <c r="J75" s="17" t="s">
        <v>16</v>
      </c>
      <c r="K75" s="17" t="s">
        <v>16</v>
      </c>
      <c r="L75" s="17" t="s">
        <v>16</v>
      </c>
      <c r="M75" s="17" t="s">
        <v>16</v>
      </c>
      <c r="N75" s="17"/>
      <c r="O75" s="17"/>
    </row>
    <row r="76" spans="1:15" ht="35.25" hidden="1" customHeight="1">
      <c r="A76" s="21" t="s">
        <v>10</v>
      </c>
      <c r="B76" s="21"/>
      <c r="C76" s="17" t="s">
        <v>364</v>
      </c>
      <c r="D76" s="17" t="str" cm="1">
        <f t="array" ref="D76">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Contenção</v>
      </c>
      <c r="E76" s="17" t="s">
        <v>20</v>
      </c>
      <c r="F76" s="17" t="str" cm="1">
        <f t="array" ref="F76">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76" s="17" t="s">
        <v>14</v>
      </c>
      <c r="H76" s="17"/>
      <c r="I76" s="17"/>
      <c r="J76" s="17" t="s">
        <v>15</v>
      </c>
      <c r="K76" s="17" t="s">
        <v>16</v>
      </c>
      <c r="L76" s="17" t="s">
        <v>16</v>
      </c>
      <c r="M76" s="17" t="s">
        <v>15</v>
      </c>
      <c r="N76" s="17" t="s">
        <v>369</v>
      </c>
      <c r="O76" s="17"/>
    </row>
    <row r="77" spans="1:15" ht="35.25" hidden="1" customHeight="1">
      <c r="A77" s="21" t="s">
        <v>18</v>
      </c>
      <c r="B77" s="21"/>
      <c r="C77" s="17" t="s">
        <v>364</v>
      </c>
      <c r="D77" s="17" t="str" cm="1">
        <f t="array" ref="D77">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Contenção</v>
      </c>
      <c r="E77" s="17" t="s">
        <v>20</v>
      </c>
      <c r="F77" s="17" t="str" cm="1">
        <f t="array" ref="F77">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77" s="17" t="s">
        <v>14</v>
      </c>
      <c r="H77" s="17"/>
      <c r="I77" s="17"/>
      <c r="J77" s="17" t="s">
        <v>15</v>
      </c>
      <c r="K77" s="17" t="s">
        <v>16</v>
      </c>
      <c r="L77" s="17" t="s">
        <v>16</v>
      </c>
      <c r="M77" s="17" t="s">
        <v>15</v>
      </c>
      <c r="N77" s="17" t="s">
        <v>370</v>
      </c>
      <c r="O77" s="17"/>
    </row>
    <row r="78" spans="1:15" ht="35.25" hidden="1" customHeight="1">
      <c r="A78" s="21" t="s">
        <v>21</v>
      </c>
      <c r="B78" s="21"/>
      <c r="C78" s="17" t="s">
        <v>364</v>
      </c>
      <c r="D78" s="17" t="str" cm="1">
        <f t="array" ref="D78">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Autorização</v>
      </c>
      <c r="E78" s="17" t="s">
        <v>22</v>
      </c>
      <c r="F78" s="17" t="str" cm="1">
        <f t="array" ref="F78">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financeiros/Vazamento de dados</v>
      </c>
      <c r="G78" s="17" t="s">
        <v>23</v>
      </c>
      <c r="H78" s="17"/>
      <c r="I78" s="17"/>
      <c r="J78" s="17" t="s">
        <v>15</v>
      </c>
      <c r="K78" s="17" t="s">
        <v>16</v>
      </c>
      <c r="L78" s="17" t="s">
        <v>16</v>
      </c>
      <c r="M78" s="17" t="s">
        <v>16</v>
      </c>
      <c r="N78" s="17" t="s">
        <v>369</v>
      </c>
      <c r="O78" s="17"/>
    </row>
    <row r="79" spans="1:15" ht="35.25" hidden="1" customHeight="1">
      <c r="A79" s="21" t="s">
        <v>24</v>
      </c>
      <c r="B79" s="21"/>
      <c r="C79" s="17" t="s">
        <v>364</v>
      </c>
      <c r="D79" s="17" t="str" cm="1">
        <f t="array" ref="D79">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79" s="17" t="s">
        <v>25</v>
      </c>
      <c r="F79" s="17" t="str" cm="1">
        <f t="array" ref="F79">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79" s="17" t="s">
        <v>26</v>
      </c>
      <c r="H79" s="17"/>
      <c r="I79" s="17"/>
      <c r="J79" s="17" t="s">
        <v>15</v>
      </c>
      <c r="K79" s="17" t="s">
        <v>16</v>
      </c>
      <c r="L79" s="17" t="s">
        <v>16</v>
      </c>
      <c r="M79" s="17" t="s">
        <v>15</v>
      </c>
      <c r="N79" s="17" t="s">
        <v>371</v>
      </c>
      <c r="O79" s="17"/>
    </row>
    <row r="80" spans="1:15" ht="35.25" hidden="1" customHeight="1">
      <c r="A80" s="21" t="s">
        <v>27</v>
      </c>
      <c r="B80" s="21"/>
      <c r="C80" s="17" t="s">
        <v>364</v>
      </c>
      <c r="D80" s="17" t="str" cm="1">
        <f t="array" ref="D80">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80" s="17" t="s">
        <v>25</v>
      </c>
      <c r="F80" s="17" t="str" cm="1">
        <f t="array" ref="F80">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80" s="17" t="s">
        <v>26</v>
      </c>
      <c r="H80" s="17"/>
      <c r="I80" s="17"/>
      <c r="J80" s="17" t="s">
        <v>15</v>
      </c>
      <c r="K80" s="17" t="s">
        <v>16</v>
      </c>
      <c r="L80" s="17" t="s">
        <v>16</v>
      </c>
      <c r="M80" s="17" t="s">
        <v>15</v>
      </c>
      <c r="N80" s="17" t="s">
        <v>371</v>
      </c>
      <c r="O80" s="17"/>
    </row>
    <row r="81" spans="1:17" ht="35.25" hidden="1" customHeight="1">
      <c r="A81" s="21" t="s">
        <v>28</v>
      </c>
      <c r="B81" s="21"/>
      <c r="C81" s="17" t="s">
        <v>364</v>
      </c>
      <c r="D81" s="17" t="str" cm="1">
        <f t="array" ref="D81">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81" s="17" t="s">
        <v>25</v>
      </c>
      <c r="F81" s="17" t="str" cm="1">
        <f t="array" ref="F81">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81" s="17" t="s">
        <v>29</v>
      </c>
      <c r="H81" s="17"/>
      <c r="I81" s="17"/>
      <c r="J81" s="17" t="s">
        <v>15</v>
      </c>
      <c r="K81" s="17" t="s">
        <v>16</v>
      </c>
      <c r="L81" s="17" t="s">
        <v>16</v>
      </c>
      <c r="M81" s="17" t="s">
        <v>15</v>
      </c>
      <c r="N81" s="17" t="s">
        <v>372</v>
      </c>
      <c r="O81" s="17"/>
    </row>
    <row r="82" spans="1:17" ht="35.25" hidden="1" customHeight="1">
      <c r="A82" s="21" t="s">
        <v>30</v>
      </c>
      <c r="B82" s="21"/>
      <c r="C82" s="17" t="s">
        <v>364</v>
      </c>
      <c r="D82" s="17" t="str" cm="1">
        <f t="array" ref="D82">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Não repúdio</v>
      </c>
      <c r="E82" s="17" t="s">
        <v>32</v>
      </c>
      <c r="F82" s="17" t="str" cm="1">
        <f t="array" ref="F82">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Regulatório/Compliance</v>
      </c>
      <c r="G82" s="17" t="s">
        <v>33</v>
      </c>
      <c r="H82" s="17"/>
      <c r="I82" s="17"/>
      <c r="J82" s="17" t="s">
        <v>15</v>
      </c>
      <c r="K82" s="17" t="s">
        <v>16</v>
      </c>
      <c r="L82" s="17" t="s">
        <v>16</v>
      </c>
      <c r="M82" s="17" t="s">
        <v>16</v>
      </c>
      <c r="N82" s="17" t="s">
        <v>373</v>
      </c>
      <c r="O82" s="17"/>
    </row>
    <row r="83" spans="1:17" ht="35.25" hidden="1" customHeight="1">
      <c r="A83" s="21" t="s">
        <v>34</v>
      </c>
      <c r="B83" s="21"/>
      <c r="C83" s="17" t="s">
        <v>364</v>
      </c>
      <c r="D83" s="17" t="str" cm="1">
        <f t="array" ref="D83">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83" s="17" t="s">
        <v>35</v>
      </c>
      <c r="F83" s="17" t="str" cm="1">
        <f t="array" ref="F83">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83" s="17" t="s">
        <v>29</v>
      </c>
      <c r="H83" s="17"/>
      <c r="I83" s="17"/>
      <c r="J83" s="17" t="s">
        <v>15</v>
      </c>
      <c r="K83" s="17" t="s">
        <v>16</v>
      </c>
      <c r="L83" s="17" t="s">
        <v>16</v>
      </c>
      <c r="M83" s="17" t="s">
        <v>16</v>
      </c>
      <c r="N83" s="17" t="s">
        <v>370</v>
      </c>
      <c r="O83" s="17"/>
    </row>
    <row r="84" spans="1:17" ht="35.25" hidden="1" customHeight="1">
      <c r="A84" s="21" t="s">
        <v>36</v>
      </c>
      <c r="B84" s="21"/>
      <c r="C84" s="17" t="s">
        <v>364</v>
      </c>
      <c r="D84" s="17" t="str" cm="1">
        <f t="array" ref="D84">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84" s="17" t="s">
        <v>25</v>
      </c>
      <c r="F84" s="17" t="str" cm="1">
        <f t="array" ref="F84">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84" s="17" t="s">
        <v>14</v>
      </c>
      <c r="H84" s="17"/>
      <c r="I84" s="17"/>
      <c r="J84" s="17" t="s">
        <v>15</v>
      </c>
      <c r="K84" s="17" t="s">
        <v>16</v>
      </c>
      <c r="L84" s="17" t="s">
        <v>16</v>
      </c>
      <c r="M84" s="17" t="s">
        <v>15</v>
      </c>
      <c r="N84" s="17" t="s">
        <v>369</v>
      </c>
      <c r="O84" s="17"/>
    </row>
    <row r="85" spans="1:17" ht="35.25" hidden="1" customHeight="1">
      <c r="A85" s="21" t="s">
        <v>37</v>
      </c>
      <c r="B85" s="21"/>
      <c r="C85" s="17" t="s">
        <v>364</v>
      </c>
      <c r="D85" s="17" t="str" cm="1">
        <f t="array" ref="D85">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Integridade</v>
      </c>
      <c r="E85" s="17" t="s">
        <v>25</v>
      </c>
      <c r="F85" s="17" t="str" cm="1">
        <f t="array" ref="F85">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Danos a imagem</v>
      </c>
      <c r="G85" s="17" t="s">
        <v>244</v>
      </c>
      <c r="H85" s="17"/>
      <c r="I85" s="17"/>
      <c r="J85" s="17" t="s">
        <v>15</v>
      </c>
      <c r="K85" s="17" t="s">
        <v>16</v>
      </c>
      <c r="L85" s="17" t="s">
        <v>16</v>
      </c>
      <c r="M85" s="17" t="s">
        <v>15</v>
      </c>
      <c r="N85" s="17" t="s">
        <v>374</v>
      </c>
      <c r="O85" s="17"/>
    </row>
    <row r="86" spans="1:17" ht="35.25" hidden="1" customHeight="1">
      <c r="A86" s="21" t="s">
        <v>38</v>
      </c>
      <c r="B86" s="21"/>
      <c r="C86" s="17" t="s">
        <v>364</v>
      </c>
      <c r="D86" s="17" t="str" cm="1">
        <f t="array" ref="D86">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Confidencialidade</v>
      </c>
      <c r="E86" s="17" t="s">
        <v>35</v>
      </c>
      <c r="F86" s="17" t="str" cm="1">
        <f t="array" ref="F86">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Vazamento de dados</v>
      </c>
      <c r="G86" s="17" t="s">
        <v>375</v>
      </c>
      <c r="H86" s="17"/>
      <c r="I86" s="17"/>
      <c r="J86" s="17" t="s">
        <v>15</v>
      </c>
      <c r="K86" s="17" t="s">
        <v>16</v>
      </c>
      <c r="L86" s="17" t="s">
        <v>16</v>
      </c>
      <c r="M86" s="17" t="s">
        <v>15</v>
      </c>
      <c r="N86" s="17" t="s">
        <v>376</v>
      </c>
      <c r="O86" s="17"/>
    </row>
    <row r="87" spans="1:17" ht="35.25" customHeight="1">
      <c r="A87" s="21" t="s">
        <v>377</v>
      </c>
      <c r="B87" s="21" t="s">
        <v>378</v>
      </c>
      <c r="C87" s="17" t="s">
        <v>221</v>
      </c>
      <c r="D87" s="17" t="str" cm="1">
        <f t="array" ref="D87">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87" s="17" t="s">
        <v>102</v>
      </c>
      <c r="F87" s="17" t="str" cm="1">
        <f t="array" ref="F87">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87" s="17" t="s">
        <v>23</v>
      </c>
      <c r="H87" s="17" t="s">
        <v>231</v>
      </c>
      <c r="I87" s="17" t="s">
        <v>232</v>
      </c>
      <c r="J87" s="17" t="s">
        <v>16</v>
      </c>
      <c r="K87" s="17" t="s">
        <v>16</v>
      </c>
      <c r="L87" s="17" t="s">
        <v>16</v>
      </c>
      <c r="M87" s="17" t="s">
        <v>16</v>
      </c>
      <c r="N87" s="17"/>
      <c r="O87" s="17"/>
      <c r="P87" s="17"/>
      <c r="Q87" s="17"/>
    </row>
    <row r="88" spans="1:17" ht="35.25" customHeight="1">
      <c r="A88" s="21" t="s">
        <v>379</v>
      </c>
      <c r="B88" s="21" t="s">
        <v>380</v>
      </c>
      <c r="C88" s="17" t="s">
        <v>221</v>
      </c>
      <c r="D88" s="17" t="str" cm="1">
        <f t="array" ref="D88">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88" s="17" t="s">
        <v>102</v>
      </c>
      <c r="F88" s="17" t="str" cm="1">
        <f t="array" ref="F88">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88" s="17"/>
      <c r="H88" s="17"/>
      <c r="I88" s="17"/>
      <c r="J88" s="17"/>
      <c r="K88" s="17"/>
      <c r="L88" s="17"/>
      <c r="M88" s="17"/>
      <c r="N88" s="17"/>
      <c r="O88" s="17"/>
      <c r="P88" s="17"/>
      <c r="Q88" s="17"/>
    </row>
    <row r="89" spans="1:17" ht="35.25" customHeight="1">
      <c r="A89" s="21" t="s">
        <v>381</v>
      </c>
      <c r="B89" s="21" t="s">
        <v>382</v>
      </c>
      <c r="C89" s="17" t="s">
        <v>221</v>
      </c>
      <c r="D89" s="17" t="str" cm="1">
        <f t="array" ref="D89">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89" s="17" t="s">
        <v>102</v>
      </c>
      <c r="F89" s="17" t="str" cm="1">
        <f t="array" ref="F89">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89" s="17"/>
      <c r="H89" s="17"/>
      <c r="I89" s="17"/>
      <c r="J89" s="17"/>
      <c r="K89" s="17"/>
      <c r="L89" s="17"/>
      <c r="M89" s="17"/>
      <c r="N89" s="17"/>
      <c r="O89" s="17"/>
      <c r="P89" s="17"/>
      <c r="Q89" s="17"/>
    </row>
    <row r="90" spans="1:17" ht="35.25" customHeight="1">
      <c r="A90" s="21" t="s">
        <v>383</v>
      </c>
      <c r="B90" s="21" t="s">
        <v>384</v>
      </c>
      <c r="C90" s="17" t="s">
        <v>221</v>
      </c>
      <c r="D90" s="17" t="str" cm="1">
        <f t="array" ref="D90">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90" s="17" t="s">
        <v>102</v>
      </c>
      <c r="F90" s="17" t="str" cm="1">
        <f t="array" ref="F90">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90" s="17"/>
      <c r="H90" s="17"/>
      <c r="I90" s="17"/>
      <c r="J90" s="17"/>
      <c r="K90" s="17"/>
      <c r="L90" s="17"/>
      <c r="M90" s="17"/>
      <c r="N90" s="17"/>
      <c r="O90" s="17"/>
      <c r="P90" s="17"/>
      <c r="Q90" s="17"/>
    </row>
    <row r="91" spans="1:17" ht="35.25" customHeight="1">
      <c r="A91" s="21" t="s">
        <v>385</v>
      </c>
      <c r="B91" s="21" t="s">
        <v>386</v>
      </c>
      <c r="C91" s="17" t="s">
        <v>221</v>
      </c>
      <c r="D91" s="17" t="str" cm="1">
        <f t="array" ref="D91">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91" s="17" t="s">
        <v>102</v>
      </c>
      <c r="F91" s="17" t="str" cm="1">
        <f t="array" ref="F91">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91" s="17"/>
      <c r="H91" s="17"/>
      <c r="I91" s="17"/>
      <c r="J91" s="17"/>
      <c r="K91" s="17"/>
      <c r="L91" s="17"/>
      <c r="M91" s="17"/>
      <c r="N91" s="17"/>
      <c r="O91" s="17"/>
      <c r="P91" s="17"/>
      <c r="Q91" s="17"/>
    </row>
    <row r="92" spans="1:17" ht="35.25" customHeight="1">
      <c r="A92" s="21" t="s">
        <v>387</v>
      </c>
      <c r="B92" s="21" t="s">
        <v>388</v>
      </c>
      <c r="C92" s="17" t="s">
        <v>221</v>
      </c>
      <c r="D92" s="17" t="str" cm="1">
        <f t="array" ref="D92">IF(Tabela1[[#This Row],[STRIDE LM]]="Information Disclosure",Formatação!H$5,IF(Tabela1[[#This Row],[STRIDE LM]]="Repudiation",Formatação!H$4,IF(Tabela1[[#This Row],[STRIDE LM]]="Spoofing",Formatação!H$2,IF(Tabela1[[#This Row],[STRIDE LM]]="Tampering",Formatação!H$3, IF(Tabela1[[#This Row],[STRIDE LM]]="Denial of Service",Formatação!H$6,IF(Tabela1[[#This Row],[STRIDE LM]]="Elevation of Privilege",Formatação!H$7,IF(Tabela1[[#This Row],[STRIDE LM]]="Lateral Movement",Formatação!H$8,Errado)))))))</f>
        <v>Autenticação</v>
      </c>
      <c r="E92" s="17" t="s">
        <v>102</v>
      </c>
      <c r="F92" s="17" t="str" cm="1">
        <f t="array" ref="F92">IF(Tabela1[[#This Row],[STRIDE LM]]="Information Disclosure",Formatação!J$5,IF(Tabela1[[#This Row],[STRIDE LM]]="Repudiation",Formatação!J$4,IF(Tabela1[[#This Row],[STRIDE LM]]="Spoofing",Formatação!J$2,IF(Tabela1[[#This Row],[STRIDE LM]]="Tampering",Formatação!J$3, IF(Tabela1[[#This Row],[STRIDE LM]]="Denial of Service",Formatação!J$6,IF(Tabela1[[#This Row],[STRIDE LM]]="Elevation of Privilege",Formatação!J$7,IF(Tabela1[[#This Row],[STRIDE LM]]="Lateral Movement",Formatação!J$8,Errado)))))))</f>
        <v>Fraudes/Vazamento de dados</v>
      </c>
      <c r="G92" s="17"/>
      <c r="H92" s="17"/>
      <c r="I92" s="17"/>
      <c r="J92" s="17"/>
      <c r="K92" s="17"/>
      <c r="L92" s="17"/>
      <c r="M92" s="17"/>
      <c r="N92" s="17"/>
      <c r="O92" s="17"/>
      <c r="P92" s="17"/>
      <c r="Q92" s="17"/>
    </row>
    <row r="93" spans="1:17" ht="35.25" hidden="1" customHeight="1">
      <c r="A93" s="21"/>
      <c r="B93" s="21"/>
      <c r="C93" s="17"/>
      <c r="D93" s="17"/>
      <c r="E93" s="17"/>
      <c r="F93" s="17"/>
      <c r="G93" s="17"/>
      <c r="H93" s="17"/>
      <c r="I93" s="17"/>
      <c r="J93" s="17"/>
      <c r="K93" s="17"/>
      <c r="L93" s="17"/>
      <c r="M93" s="17"/>
      <c r="N93" s="17"/>
      <c r="O93" s="17"/>
      <c r="P93" s="17"/>
      <c r="Q93" s="17"/>
    </row>
    <row r="94" spans="1:17" ht="35.25" hidden="1" customHeight="1">
      <c r="A94" s="21" t="s">
        <v>116</v>
      </c>
      <c r="B94" s="21"/>
      <c r="C94" s="17"/>
      <c r="D94" s="17"/>
      <c r="E94" s="17"/>
      <c r="F94" s="17"/>
      <c r="G94" s="17"/>
      <c r="H94" s="17"/>
      <c r="I94" s="17"/>
      <c r="J94" s="17"/>
      <c r="K94" s="17"/>
      <c r="L94" s="17"/>
      <c r="M94" s="17"/>
      <c r="N94" s="17"/>
      <c r="O94" s="17"/>
      <c r="P94" s="17"/>
      <c r="Q94" s="17"/>
    </row>
    <row r="95" spans="1:17" ht="35.25" hidden="1" customHeight="1">
      <c r="A95" s="21" t="s">
        <v>389</v>
      </c>
      <c r="B95" s="21"/>
      <c r="C95" s="17"/>
      <c r="D95" s="17"/>
      <c r="E95" s="17"/>
      <c r="F95" s="17"/>
      <c r="G95" s="17"/>
      <c r="H95" s="17"/>
      <c r="I95" s="17"/>
      <c r="J95" s="17"/>
      <c r="K95" s="17"/>
      <c r="L95" s="17"/>
      <c r="M95" s="17"/>
      <c r="N95" s="17"/>
      <c r="O95" s="17"/>
      <c r="P95" s="17"/>
      <c r="Q95" s="17"/>
    </row>
    <row r="96" spans="1:17" ht="35.25" hidden="1" customHeight="1">
      <c r="A96" s="21" t="s">
        <v>100</v>
      </c>
      <c r="B96" s="21"/>
      <c r="C96" s="17"/>
      <c r="D96" s="17"/>
      <c r="E96" s="17"/>
      <c r="F96" s="17"/>
      <c r="G96" s="17"/>
      <c r="H96" s="17"/>
      <c r="I96" s="17"/>
      <c r="J96" s="17"/>
      <c r="K96" s="17"/>
      <c r="L96" s="17"/>
      <c r="M96" s="17"/>
      <c r="N96" s="17"/>
      <c r="O96" s="17"/>
      <c r="P96" s="17"/>
      <c r="Q96" s="17"/>
    </row>
    <row r="97" spans="1:17" ht="35.25" hidden="1" customHeight="1">
      <c r="A97" s="21" t="s">
        <v>253</v>
      </c>
      <c r="B97" s="21"/>
      <c r="C97" s="17"/>
      <c r="D97" s="17"/>
      <c r="E97" s="17"/>
      <c r="F97" s="17"/>
      <c r="G97" s="17"/>
      <c r="H97" s="17"/>
      <c r="I97" s="17"/>
      <c r="J97" s="17"/>
      <c r="K97" s="17"/>
      <c r="L97" s="17"/>
      <c r="M97" s="17"/>
      <c r="N97" s="17"/>
      <c r="O97" s="17"/>
      <c r="P97" s="17"/>
      <c r="Q97" s="17"/>
    </row>
    <row r="98" spans="1:17" ht="35.25" hidden="1" customHeight="1">
      <c r="A98" s="21" t="s">
        <v>255</v>
      </c>
      <c r="B98" s="21"/>
      <c r="C98" s="17"/>
      <c r="D98" s="17"/>
      <c r="E98" s="17"/>
      <c r="F98" s="17"/>
      <c r="G98" s="17"/>
      <c r="H98" s="17"/>
      <c r="I98" s="17"/>
      <c r="J98" s="17"/>
      <c r="K98" s="17"/>
      <c r="L98" s="17"/>
      <c r="M98" s="17"/>
      <c r="N98" s="17"/>
      <c r="O98" s="17"/>
      <c r="P98" s="17"/>
      <c r="Q98" s="17"/>
    </row>
    <row r="99" spans="1:17" ht="35.25" hidden="1" customHeight="1">
      <c r="A99" s="21" t="s">
        <v>107</v>
      </c>
      <c r="B99" s="21"/>
      <c r="C99" s="17"/>
      <c r="D99" s="17"/>
      <c r="E99" s="17"/>
      <c r="F99" s="17"/>
      <c r="G99" s="17"/>
      <c r="H99" s="17"/>
      <c r="I99" s="17"/>
      <c r="J99" s="17"/>
      <c r="K99" s="17"/>
      <c r="L99" s="17"/>
      <c r="M99" s="17"/>
      <c r="N99" s="17"/>
      <c r="O99" s="17"/>
      <c r="P99" s="17"/>
      <c r="Q99" s="17"/>
    </row>
    <row r="100" spans="1:17" ht="35.25" hidden="1" customHeight="1">
      <c r="A100" s="21" t="s">
        <v>108</v>
      </c>
      <c r="B100" s="21"/>
      <c r="C100" s="17"/>
      <c r="D100" s="17"/>
      <c r="E100" s="17"/>
      <c r="F100" s="17"/>
      <c r="G100" s="17"/>
      <c r="H100" s="17"/>
      <c r="I100" s="17"/>
      <c r="J100" s="17"/>
      <c r="K100" s="17"/>
      <c r="L100" s="17"/>
      <c r="M100" s="17"/>
      <c r="N100" s="17"/>
      <c r="O100" s="17"/>
      <c r="P100" s="17"/>
      <c r="Q100" s="17"/>
    </row>
    <row r="101" spans="1:17" ht="35.25" hidden="1" customHeight="1">
      <c r="A101" s="21" t="s">
        <v>109</v>
      </c>
      <c r="B101" s="21"/>
      <c r="C101" s="17"/>
      <c r="D101" s="17"/>
      <c r="E101" s="17"/>
      <c r="F101" s="17"/>
      <c r="G101" s="17"/>
      <c r="H101" s="17"/>
      <c r="I101" s="17"/>
      <c r="J101" s="17"/>
      <c r="K101" s="17"/>
      <c r="L101" s="17"/>
      <c r="M101" s="17"/>
      <c r="N101" s="17"/>
      <c r="O101" s="17"/>
      <c r="P101" s="17"/>
      <c r="Q101" s="17"/>
    </row>
    <row r="102" spans="1:17" ht="35.25" hidden="1" customHeight="1">
      <c r="A102" s="21" t="s">
        <v>110</v>
      </c>
      <c r="B102" s="21"/>
      <c r="C102" s="17"/>
      <c r="D102" s="17"/>
      <c r="E102" s="17"/>
      <c r="F102" s="17"/>
      <c r="G102" s="17"/>
      <c r="H102" s="17"/>
      <c r="I102" s="17"/>
      <c r="J102" s="17"/>
      <c r="K102" s="17"/>
      <c r="L102" s="17"/>
      <c r="M102" s="17"/>
      <c r="N102" s="17"/>
      <c r="O102" s="17"/>
      <c r="P102" s="17"/>
      <c r="Q102" s="17"/>
    </row>
    <row r="103" spans="1:17" ht="35.25" hidden="1" customHeight="1">
      <c r="A103" s="21" t="s">
        <v>111</v>
      </c>
      <c r="B103" s="21"/>
      <c r="C103" s="17"/>
      <c r="D103" s="17"/>
      <c r="E103" s="17"/>
      <c r="F103" s="17"/>
      <c r="G103" s="17"/>
      <c r="H103" s="17"/>
      <c r="I103" s="17"/>
      <c r="J103" s="17"/>
      <c r="K103" s="17"/>
      <c r="L103" s="17"/>
      <c r="M103" s="17"/>
      <c r="N103" s="17"/>
      <c r="O103" s="17"/>
      <c r="P103" s="17"/>
      <c r="Q103" s="17"/>
    </row>
    <row r="104" spans="1:17" ht="35.25" hidden="1" customHeight="1">
      <c r="A104" s="21" t="s">
        <v>112</v>
      </c>
      <c r="B104" s="21"/>
      <c r="C104" s="17"/>
      <c r="D104" s="17"/>
      <c r="E104" s="17"/>
      <c r="F104" s="17"/>
      <c r="G104" s="17"/>
      <c r="H104" s="17"/>
      <c r="I104" s="17"/>
      <c r="J104" s="17"/>
      <c r="K104" s="17"/>
      <c r="L104" s="17"/>
      <c r="M104" s="17"/>
      <c r="N104" s="17"/>
      <c r="O104" s="17"/>
      <c r="P104" s="17"/>
      <c r="Q104" s="17"/>
    </row>
    <row r="105" spans="1:17" ht="35.25" hidden="1" customHeight="1">
      <c r="A105" s="21" t="s">
        <v>113</v>
      </c>
      <c r="B105" s="21"/>
      <c r="C105" s="17"/>
      <c r="D105" s="17"/>
      <c r="E105" s="17"/>
      <c r="F105" s="17"/>
      <c r="G105" s="17"/>
      <c r="H105" s="17"/>
      <c r="I105" s="17"/>
      <c r="J105" s="17"/>
      <c r="K105" s="17"/>
      <c r="L105" s="17"/>
      <c r="M105" s="17"/>
      <c r="N105" s="17"/>
      <c r="O105" s="17"/>
      <c r="P105" s="17"/>
      <c r="Q105" s="17"/>
    </row>
    <row r="106" spans="1:17" ht="35.25" hidden="1" customHeight="1">
      <c r="A106" s="21" t="s">
        <v>114</v>
      </c>
      <c r="B106" s="21"/>
      <c r="C106" s="17"/>
      <c r="D106" s="17"/>
      <c r="E106" s="17"/>
      <c r="F106" s="17"/>
      <c r="G106" s="17"/>
      <c r="H106" s="17"/>
      <c r="I106" s="17"/>
      <c r="J106" s="17"/>
      <c r="K106" s="17"/>
      <c r="L106" s="17"/>
      <c r="M106" s="17"/>
      <c r="N106" s="17"/>
      <c r="O106" s="17"/>
      <c r="P106" s="17"/>
      <c r="Q106" s="17"/>
    </row>
    <row r="107" spans="1:17" ht="35.25" hidden="1" customHeight="1">
      <c r="A107" s="21" t="s">
        <v>115</v>
      </c>
      <c r="B107" s="21"/>
      <c r="C107" s="17"/>
      <c r="D107" s="17"/>
      <c r="E107" s="17"/>
      <c r="F107" s="17"/>
      <c r="G107" s="17"/>
      <c r="H107" s="17"/>
      <c r="I107" s="17"/>
      <c r="J107" s="17"/>
      <c r="K107" s="17"/>
      <c r="L107" s="17"/>
      <c r="M107" s="17"/>
      <c r="N107" s="17"/>
      <c r="O107" s="17"/>
      <c r="P107" s="17"/>
      <c r="Q107" s="17"/>
    </row>
    <row r="108" spans="1:17" ht="35.25" hidden="1" customHeight="1">
      <c r="A108" s="21"/>
      <c r="B108" s="21"/>
      <c r="C108" s="17"/>
      <c r="D108" s="17"/>
      <c r="E108" s="17"/>
      <c r="F108" s="17"/>
      <c r="G108" s="17"/>
      <c r="H108" s="17"/>
      <c r="I108" s="17"/>
      <c r="J108" s="17"/>
      <c r="K108" s="17"/>
      <c r="L108" s="17"/>
      <c r="M108" s="17"/>
      <c r="N108" s="17"/>
      <c r="O108" s="17"/>
      <c r="P108" s="17"/>
      <c r="Q108" s="17"/>
    </row>
    <row r="109" spans="1:17" ht="35.25" hidden="1" customHeight="1">
      <c r="A109" s="21"/>
      <c r="B109" s="21"/>
      <c r="C109" s="17"/>
      <c r="D109" s="17"/>
      <c r="E109" s="17"/>
      <c r="F109" s="17"/>
      <c r="G109" s="17"/>
      <c r="H109" s="17"/>
      <c r="I109" s="17"/>
      <c r="J109" s="17"/>
      <c r="K109" s="17"/>
      <c r="L109" s="17"/>
      <c r="M109" s="17"/>
      <c r="N109" s="17"/>
      <c r="O109" s="17"/>
      <c r="P109" s="17"/>
      <c r="Q109" s="17"/>
    </row>
    <row r="110" spans="1:17" ht="35.25" hidden="1" customHeight="1">
      <c r="A110" s="21"/>
      <c r="B110" s="21"/>
      <c r="C110" s="17"/>
      <c r="D110" s="17"/>
      <c r="E110" s="17"/>
      <c r="F110" s="17"/>
      <c r="G110" s="17"/>
      <c r="H110" s="17"/>
      <c r="I110" s="17"/>
      <c r="J110" s="17"/>
      <c r="K110" s="17"/>
      <c r="L110" s="17"/>
      <c r="M110" s="17"/>
      <c r="N110" s="17"/>
      <c r="O110" s="17"/>
      <c r="P110" s="17"/>
      <c r="Q110" s="17"/>
    </row>
    <row r="111" spans="1:17" ht="35.25" hidden="1" customHeight="1">
      <c r="A111" s="21"/>
      <c r="B111" s="21"/>
      <c r="C111" s="17"/>
      <c r="D111" s="17"/>
      <c r="E111" s="17"/>
      <c r="F111" s="17"/>
      <c r="G111" s="17"/>
      <c r="H111" s="17"/>
      <c r="I111" s="17"/>
      <c r="J111" s="17"/>
      <c r="K111" s="17"/>
      <c r="L111" s="17"/>
      <c r="M111" s="17"/>
      <c r="N111" s="17"/>
      <c r="O111" s="17"/>
      <c r="P111" s="17"/>
      <c r="Q111" s="17"/>
    </row>
    <row r="112" spans="1:17" ht="35.25" hidden="1" customHeight="1">
      <c r="A112" s="21"/>
      <c r="B112" s="21"/>
      <c r="C112" s="17"/>
      <c r="D112" s="17"/>
      <c r="E112" s="17"/>
      <c r="F112" s="17"/>
      <c r="G112" s="17"/>
      <c r="H112" s="17"/>
      <c r="I112" s="17"/>
      <c r="J112" s="17"/>
      <c r="K112" s="17"/>
      <c r="L112" s="17"/>
      <c r="M112" s="17"/>
      <c r="N112" s="17"/>
      <c r="O112" s="17"/>
      <c r="P112" s="17"/>
      <c r="Q112" s="17"/>
    </row>
    <row r="113" spans="1:17" ht="35.25" hidden="1" customHeight="1">
      <c r="A113" s="21"/>
      <c r="B113" s="21"/>
      <c r="C113" s="17"/>
      <c r="D113" s="17"/>
      <c r="E113" s="17"/>
      <c r="F113" s="17"/>
      <c r="G113" s="17"/>
      <c r="H113" s="17"/>
      <c r="I113" s="17"/>
      <c r="J113" s="17"/>
      <c r="K113" s="17"/>
      <c r="L113" s="17"/>
      <c r="M113" s="17"/>
      <c r="N113" s="17"/>
      <c r="O113" s="17"/>
      <c r="P113" s="17"/>
      <c r="Q113" s="17"/>
    </row>
    <row r="114" spans="1:17" ht="35.25" hidden="1" customHeight="1">
      <c r="A114" s="21"/>
      <c r="B114" s="21"/>
      <c r="C114" s="17"/>
      <c r="D114" s="17"/>
      <c r="E114" s="17"/>
      <c r="F114" s="17"/>
      <c r="G114" s="17"/>
      <c r="H114" s="17"/>
      <c r="I114" s="17"/>
      <c r="J114" s="17"/>
      <c r="K114" s="17"/>
      <c r="L114" s="17"/>
      <c r="M114" s="17"/>
      <c r="N114" s="17"/>
      <c r="O114" s="17"/>
      <c r="P114" s="17"/>
      <c r="Q114" s="17"/>
    </row>
    <row r="115" spans="1:17" ht="35.25" hidden="1" customHeight="1">
      <c r="A115" s="21"/>
      <c r="B115" s="21"/>
      <c r="C115" s="17"/>
      <c r="D115" s="17"/>
      <c r="E115" s="17"/>
      <c r="F115" s="17"/>
      <c r="G115" s="17"/>
      <c r="H115" s="17"/>
      <c r="I115" s="17"/>
      <c r="J115" s="17"/>
      <c r="K115" s="17"/>
      <c r="L115" s="17"/>
      <c r="M115" s="17"/>
      <c r="N115" s="17"/>
      <c r="O115" s="17"/>
      <c r="P115" s="17"/>
      <c r="Q115" s="17"/>
    </row>
    <row r="116" spans="1:17" ht="35.25" hidden="1" customHeight="1">
      <c r="A116" s="21"/>
      <c r="B116" s="21"/>
      <c r="C116" s="17"/>
      <c r="D116" s="17"/>
      <c r="E116" s="17"/>
      <c r="F116" s="17"/>
      <c r="G116" s="17"/>
      <c r="H116" s="17"/>
      <c r="I116" s="17"/>
      <c r="J116" s="17"/>
      <c r="K116" s="17"/>
      <c r="L116" s="17"/>
      <c r="M116" s="17"/>
      <c r="N116" s="17"/>
      <c r="O116" s="17"/>
      <c r="P116" s="17"/>
      <c r="Q116" s="17"/>
    </row>
    <row r="117" spans="1:17" ht="35.25" hidden="1" customHeight="1">
      <c r="A117" s="21"/>
      <c r="B117" s="21"/>
      <c r="C117" s="17"/>
      <c r="D117" s="17"/>
      <c r="E117" s="17"/>
      <c r="F117" s="17"/>
      <c r="G117" s="17"/>
      <c r="H117" s="17"/>
      <c r="I117" s="17"/>
      <c r="J117" s="17"/>
      <c r="K117" s="17"/>
      <c r="L117" s="17"/>
      <c r="M117" s="17"/>
      <c r="N117" s="17"/>
      <c r="O117" s="17"/>
      <c r="P117" s="17"/>
      <c r="Q117" s="17"/>
    </row>
    <row r="118" spans="1:17" ht="35.25" hidden="1" customHeight="1">
      <c r="A118" s="21"/>
      <c r="B118" s="21"/>
      <c r="C118" s="17"/>
      <c r="D118" s="17"/>
      <c r="E118" s="17"/>
      <c r="F118" s="17"/>
      <c r="G118" s="17"/>
      <c r="H118" s="17"/>
      <c r="I118" s="17"/>
      <c r="J118" s="17"/>
      <c r="K118" s="17"/>
      <c r="L118" s="17"/>
      <c r="M118" s="17"/>
      <c r="N118" s="17"/>
      <c r="O118" s="17"/>
      <c r="P118" s="17"/>
      <c r="Q118" s="17"/>
    </row>
    <row r="119" spans="1:17" ht="35.25" hidden="1" customHeight="1">
      <c r="A119" s="21"/>
      <c r="B119" s="21"/>
      <c r="C119" s="17"/>
      <c r="D119" s="17"/>
      <c r="E119" s="17"/>
      <c r="F119" s="17"/>
      <c r="G119" s="17"/>
      <c r="H119" s="17"/>
      <c r="I119" s="17"/>
      <c r="J119" s="17"/>
      <c r="K119" s="17"/>
      <c r="L119" s="17"/>
      <c r="M119" s="17"/>
      <c r="N119" s="17"/>
      <c r="O119" s="17"/>
      <c r="P119" s="17"/>
      <c r="Q119" s="17"/>
    </row>
    <row r="120" spans="1:17" ht="35.25" hidden="1" customHeight="1">
      <c r="A120" s="21"/>
      <c r="B120" s="21"/>
      <c r="C120" s="17"/>
      <c r="D120" s="17"/>
      <c r="E120" s="17"/>
      <c r="F120" s="17"/>
      <c r="G120" s="17"/>
      <c r="H120" s="17"/>
      <c r="I120" s="17"/>
      <c r="J120" s="17"/>
      <c r="K120" s="17"/>
      <c r="L120" s="17"/>
      <c r="M120" s="17"/>
      <c r="N120" s="17"/>
      <c r="O120" s="17"/>
      <c r="P120" s="17"/>
      <c r="Q120" s="17"/>
    </row>
    <row r="121" spans="1:17" ht="35.25" hidden="1" customHeight="1">
      <c r="A121" s="21"/>
      <c r="B121" s="21"/>
      <c r="C121" s="17"/>
      <c r="D121" s="17"/>
      <c r="E121" s="17"/>
      <c r="F121" s="17"/>
      <c r="G121" s="17"/>
      <c r="H121" s="17"/>
      <c r="I121" s="17"/>
      <c r="J121" s="17"/>
      <c r="K121" s="17"/>
      <c r="L121" s="17"/>
      <c r="M121" s="17"/>
      <c r="N121" s="17"/>
      <c r="O121" s="17"/>
      <c r="P121" s="17"/>
      <c r="Q121" s="17"/>
    </row>
    <row r="122" spans="1:17" ht="35.25" hidden="1" customHeight="1">
      <c r="A122" s="21"/>
      <c r="B122" s="21"/>
      <c r="C122" s="17"/>
      <c r="D122" s="17"/>
      <c r="E122" s="17"/>
      <c r="F122" s="17"/>
      <c r="G122" s="17"/>
      <c r="H122" s="17"/>
      <c r="I122" s="17"/>
      <c r="J122" s="17"/>
      <c r="K122" s="17"/>
      <c r="L122" s="17"/>
      <c r="M122" s="17"/>
      <c r="N122" s="17"/>
      <c r="O122" s="17"/>
      <c r="P122" s="17"/>
      <c r="Q122" s="17"/>
    </row>
    <row r="123" spans="1:17" ht="35.25" hidden="1" customHeight="1">
      <c r="A123" s="21"/>
      <c r="B123" s="21"/>
      <c r="C123" s="17"/>
      <c r="D123" s="17"/>
      <c r="E123" s="17"/>
      <c r="F123" s="17"/>
      <c r="G123" s="17"/>
      <c r="H123" s="17"/>
      <c r="I123" s="17"/>
      <c r="J123" s="17"/>
      <c r="K123" s="17"/>
      <c r="L123" s="17"/>
      <c r="M123" s="17"/>
      <c r="N123" s="17"/>
      <c r="O123" s="17"/>
      <c r="P123" s="17"/>
      <c r="Q123" s="17"/>
    </row>
    <row r="124" spans="1:17" ht="35.25" hidden="1" customHeight="1">
      <c r="A124" s="21"/>
      <c r="B124" s="21"/>
      <c r="C124" s="17"/>
      <c r="D124" s="17"/>
      <c r="E124" s="17"/>
      <c r="F124" s="17"/>
      <c r="G124" s="17"/>
      <c r="H124" s="17"/>
      <c r="I124" s="17"/>
      <c r="J124" s="17"/>
      <c r="K124" s="17"/>
      <c r="L124" s="17"/>
      <c r="M124" s="17"/>
      <c r="N124" s="17"/>
      <c r="O124" s="17"/>
      <c r="P124" s="17"/>
      <c r="Q124" s="17"/>
    </row>
    <row r="125" spans="1:17" ht="35.25" hidden="1" customHeight="1">
      <c r="A125" s="21"/>
      <c r="B125" s="21"/>
      <c r="C125" s="17"/>
      <c r="D125" s="17"/>
      <c r="E125" s="17"/>
      <c r="F125" s="17"/>
      <c r="G125" s="17"/>
      <c r="H125" s="17"/>
      <c r="I125" s="17"/>
      <c r="J125" s="17"/>
      <c r="K125" s="17"/>
      <c r="L125" s="17"/>
      <c r="M125" s="17"/>
      <c r="N125" s="17"/>
      <c r="O125" s="17"/>
      <c r="P125" s="17"/>
      <c r="Q125" s="17"/>
    </row>
    <row r="126" spans="1:17" ht="35.25" hidden="1" customHeight="1">
      <c r="A126" s="21"/>
      <c r="B126" s="21"/>
      <c r="C126" s="17"/>
      <c r="D126" s="17"/>
      <c r="E126" s="17"/>
      <c r="F126" s="17"/>
      <c r="G126" s="17"/>
      <c r="H126" s="17"/>
      <c r="I126" s="17"/>
      <c r="J126" s="17"/>
      <c r="K126" s="17"/>
      <c r="L126" s="17"/>
      <c r="M126" s="17"/>
      <c r="N126" s="17"/>
      <c r="O126" s="17"/>
      <c r="P126" s="17"/>
      <c r="Q126" s="17"/>
    </row>
    <row r="127" spans="1:17" ht="35.25" hidden="1" customHeight="1">
      <c r="A127" s="21"/>
      <c r="B127" s="21"/>
      <c r="C127" s="17"/>
      <c r="D127" s="17"/>
      <c r="E127" s="17"/>
      <c r="F127" s="17"/>
      <c r="G127" s="17"/>
      <c r="H127" s="17"/>
      <c r="I127" s="17"/>
      <c r="J127" s="17"/>
      <c r="K127" s="17"/>
      <c r="L127" s="17"/>
      <c r="M127" s="17"/>
      <c r="N127" s="17"/>
      <c r="O127" s="17"/>
      <c r="P127" s="17"/>
      <c r="Q127" s="17"/>
    </row>
    <row r="128" spans="1:17" ht="35.25" hidden="1" customHeight="1">
      <c r="A128" s="21"/>
      <c r="B128" s="21"/>
      <c r="C128" s="17"/>
      <c r="D128" s="17"/>
      <c r="E128" s="17"/>
      <c r="F128" s="17"/>
      <c r="G128" s="17"/>
      <c r="H128" s="17"/>
      <c r="I128" s="17"/>
      <c r="J128" s="17"/>
      <c r="K128" s="17"/>
      <c r="L128" s="17"/>
      <c r="M128" s="17"/>
      <c r="N128" s="17"/>
      <c r="O128" s="17"/>
      <c r="P128" s="17"/>
      <c r="Q128" s="17"/>
    </row>
    <row r="129" spans="1:17" ht="35.25" hidden="1" customHeight="1">
      <c r="A129" s="21"/>
      <c r="B129" s="21"/>
      <c r="C129" s="17"/>
      <c r="D129" s="17"/>
      <c r="E129" s="17"/>
      <c r="F129" s="17"/>
      <c r="G129" s="17"/>
      <c r="H129" s="17"/>
      <c r="I129" s="17"/>
      <c r="J129" s="17"/>
      <c r="K129" s="17"/>
      <c r="L129" s="17"/>
      <c r="M129" s="17"/>
      <c r="N129" s="17"/>
      <c r="O129" s="17"/>
      <c r="P129" s="17"/>
      <c r="Q129" s="17"/>
    </row>
    <row r="130" spans="1:17" ht="35.25" hidden="1" customHeight="1">
      <c r="A130" s="21"/>
      <c r="B130" s="21"/>
      <c r="C130" s="17"/>
      <c r="D130" s="17"/>
      <c r="E130" s="17"/>
      <c r="F130" s="17"/>
      <c r="G130" s="17"/>
      <c r="H130" s="17"/>
      <c r="I130" s="17"/>
      <c r="J130" s="17"/>
      <c r="K130" s="17"/>
      <c r="L130" s="17"/>
      <c r="M130" s="17"/>
      <c r="N130" s="17"/>
      <c r="O130" s="17"/>
      <c r="P130" s="17"/>
      <c r="Q130" s="17"/>
    </row>
    <row r="131" spans="1:17" ht="35.25" hidden="1" customHeight="1">
      <c r="A131" s="21"/>
      <c r="B131" s="21"/>
      <c r="C131" s="17"/>
      <c r="D131" s="17"/>
      <c r="E131" s="17"/>
      <c r="F131" s="17"/>
      <c r="G131" s="17"/>
      <c r="H131" s="17"/>
      <c r="I131" s="17"/>
      <c r="J131" s="17"/>
      <c r="K131" s="17"/>
      <c r="L131" s="17"/>
      <c r="M131" s="17"/>
      <c r="N131" s="17"/>
      <c r="O131" s="17"/>
      <c r="P131" s="17"/>
      <c r="Q131" s="17"/>
    </row>
    <row r="132" spans="1:17" ht="35.25" hidden="1" customHeight="1">
      <c r="A132" s="21"/>
      <c r="B132" s="21"/>
      <c r="C132" s="17"/>
      <c r="D132" s="17"/>
      <c r="E132" s="17"/>
      <c r="F132" s="17"/>
      <c r="G132" s="17"/>
      <c r="H132" s="17"/>
      <c r="I132" s="17"/>
      <c r="J132" s="17"/>
      <c r="K132" s="17"/>
      <c r="L132" s="17"/>
      <c r="M132" s="17"/>
      <c r="N132" s="17"/>
      <c r="O132" s="17"/>
      <c r="P132" s="17"/>
      <c r="Q132" s="17"/>
    </row>
    <row r="133" spans="1:17" ht="35.25" hidden="1" customHeight="1">
      <c r="A133" s="21"/>
      <c r="B133" s="21"/>
      <c r="C133" s="17"/>
      <c r="D133" s="17"/>
      <c r="E133" s="17"/>
      <c r="F133" s="17"/>
      <c r="G133" s="17"/>
      <c r="H133" s="17"/>
      <c r="I133" s="17"/>
      <c r="J133" s="17"/>
      <c r="K133" s="17"/>
      <c r="L133" s="17"/>
      <c r="M133" s="17"/>
      <c r="N133" s="17"/>
      <c r="O133" s="17"/>
      <c r="P133" s="17"/>
      <c r="Q133" s="17"/>
    </row>
    <row r="134" spans="1:17" ht="35.25" hidden="1" customHeight="1">
      <c r="A134" s="21"/>
      <c r="B134" s="21"/>
      <c r="C134" s="17"/>
      <c r="D134" s="17"/>
      <c r="E134" s="17"/>
      <c r="F134" s="17"/>
      <c r="G134" s="17"/>
      <c r="H134" s="17"/>
      <c r="I134" s="17"/>
      <c r="J134" s="17"/>
      <c r="K134" s="17"/>
      <c r="L134" s="17"/>
      <c r="M134" s="17"/>
      <c r="N134" s="17"/>
      <c r="O134" s="17"/>
      <c r="P134" s="17"/>
      <c r="Q134" s="17"/>
    </row>
    <row r="135" spans="1:17" ht="35.25" hidden="1" customHeight="1">
      <c r="A135" s="21"/>
      <c r="B135" s="21"/>
      <c r="C135" s="17"/>
      <c r="D135" s="17"/>
      <c r="E135" s="17"/>
      <c r="F135" s="17"/>
      <c r="G135" s="17"/>
      <c r="H135" s="17"/>
      <c r="I135" s="17"/>
      <c r="J135" s="17"/>
      <c r="K135" s="17"/>
      <c r="L135" s="17"/>
      <c r="M135" s="17"/>
      <c r="N135" s="17"/>
      <c r="O135" s="17"/>
      <c r="P135" s="17"/>
      <c r="Q135" s="17"/>
    </row>
    <row r="136" spans="1:17" ht="35.25" hidden="1" customHeight="1">
      <c r="A136" s="21"/>
      <c r="B136" s="21"/>
      <c r="C136" s="17"/>
      <c r="D136" s="17"/>
      <c r="E136" s="17"/>
      <c r="F136" s="17"/>
      <c r="G136" s="17"/>
      <c r="H136" s="17"/>
      <c r="I136" s="17"/>
      <c r="J136" s="17"/>
      <c r="K136" s="17"/>
      <c r="L136" s="17"/>
      <c r="M136" s="17"/>
      <c r="N136" s="17"/>
      <c r="O136" s="17"/>
      <c r="P136" s="17"/>
      <c r="Q136" s="17"/>
    </row>
    <row r="137" spans="1:17" ht="35.25" hidden="1" customHeight="1">
      <c r="A137" s="21"/>
      <c r="B137" s="21"/>
      <c r="C137" s="17"/>
      <c r="D137" s="17"/>
      <c r="E137" s="17"/>
      <c r="F137" s="17"/>
      <c r="G137" s="17"/>
      <c r="H137" s="17"/>
      <c r="I137" s="17"/>
      <c r="J137" s="17"/>
      <c r="K137" s="17"/>
      <c r="L137" s="17"/>
      <c r="M137" s="17"/>
      <c r="N137" s="17"/>
      <c r="O137" s="17"/>
      <c r="P137" s="17"/>
      <c r="Q137" s="17"/>
    </row>
    <row r="138" spans="1:17" ht="35.25" hidden="1" customHeight="1">
      <c r="A138" s="21"/>
      <c r="B138" s="21"/>
      <c r="C138" s="17"/>
      <c r="D138" s="17"/>
      <c r="E138" s="17"/>
      <c r="F138" s="17"/>
      <c r="G138" s="17"/>
      <c r="H138" s="17"/>
      <c r="I138" s="17"/>
      <c r="J138" s="17"/>
      <c r="K138" s="17"/>
      <c r="L138" s="17"/>
      <c r="M138" s="17"/>
      <c r="N138" s="17"/>
      <c r="O138" s="17"/>
      <c r="P138" s="17"/>
      <c r="Q138" s="17"/>
    </row>
    <row r="139" spans="1:17" ht="35.25" hidden="1" customHeight="1">
      <c r="A139" s="21"/>
      <c r="B139" s="21"/>
      <c r="C139" s="17"/>
      <c r="D139" s="17"/>
      <c r="E139" s="17"/>
      <c r="F139" s="17"/>
      <c r="G139" s="17"/>
      <c r="H139" s="17"/>
      <c r="I139" s="17"/>
      <c r="J139" s="17"/>
      <c r="K139" s="17"/>
      <c r="L139" s="17"/>
      <c r="M139" s="17"/>
      <c r="N139" s="17"/>
      <c r="O139" s="17"/>
      <c r="P139" s="17"/>
      <c r="Q139" s="17"/>
    </row>
    <row r="140" spans="1:17" ht="35.25" hidden="1" customHeight="1">
      <c r="A140" s="25"/>
      <c r="B140" s="25"/>
      <c r="C140" s="17"/>
      <c r="D140" s="17"/>
      <c r="E140" s="17"/>
      <c r="F140" s="17"/>
      <c r="G140" s="17"/>
      <c r="H140" s="17"/>
      <c r="I140" s="17"/>
      <c r="J140" s="17"/>
      <c r="K140" s="17"/>
      <c r="L140" s="17"/>
      <c r="M140" s="17"/>
      <c r="N140" s="17"/>
      <c r="O140" s="17"/>
      <c r="P140" s="17"/>
      <c r="Q140" s="17"/>
    </row>
    <row r="141" spans="1:17" ht="35.25" hidden="1" customHeight="1">
      <c r="A141" s="25"/>
      <c r="B141" s="25"/>
      <c r="C141" s="17"/>
      <c r="D141" s="17"/>
      <c r="E141" s="17"/>
      <c r="F141" s="17"/>
      <c r="G141" s="17"/>
      <c r="H141" s="17"/>
      <c r="I141" s="17"/>
      <c r="J141" s="17"/>
      <c r="K141" s="17"/>
      <c r="L141" s="17"/>
      <c r="M141" s="17"/>
      <c r="N141" s="17"/>
      <c r="O141" s="17"/>
      <c r="P141" s="17"/>
      <c r="Q141" s="17"/>
    </row>
    <row r="142" spans="1:17" ht="35.25" customHeight="1">
      <c r="A142" s="27"/>
      <c r="B142" s="27"/>
    </row>
    <row r="143" spans="1:17" ht="35.25" customHeight="1">
      <c r="A143" s="34" t="s">
        <v>390</v>
      </c>
      <c r="B143" s="34"/>
    </row>
    <row r="144" spans="1:17" ht="35.25" customHeight="1">
      <c r="A144" s="27"/>
      <c r="B144" s="27"/>
    </row>
    <row r="145" spans="1:2" ht="35.25" customHeight="1">
      <c r="A145" s="27"/>
      <c r="B145" s="27"/>
    </row>
    <row r="146" spans="1:2" ht="35.25" customHeight="1">
      <c r="A146" s="27"/>
      <c r="B146" s="27"/>
    </row>
    <row r="147" spans="1:2" ht="35.25" customHeight="1">
      <c r="A147" s="27"/>
      <c r="B147" s="27"/>
    </row>
    <row r="148" spans="1:2" ht="35.25" customHeight="1">
      <c r="A148" s="27"/>
      <c r="B148" s="27"/>
    </row>
    <row r="149" spans="1:2" ht="35.25" customHeight="1">
      <c r="A149" s="27"/>
      <c r="B149" s="27"/>
    </row>
    <row r="150" spans="1:2" ht="35.25" customHeight="1">
      <c r="A150" s="27"/>
      <c r="B150" s="27"/>
    </row>
    <row r="151" spans="1:2" ht="35.25" customHeight="1">
      <c r="A151" s="27"/>
      <c r="B151" s="27"/>
    </row>
    <row r="152" spans="1:2" ht="35.25" customHeight="1">
      <c r="A152" s="27"/>
      <c r="B152" s="27"/>
    </row>
  </sheetData>
  <sortState xmlns:xlrd2="http://schemas.microsoft.com/office/spreadsheetml/2017/richdata2" ref="A41:A55">
    <sortCondition ref="A41:A55"/>
  </sortState>
  <conditionalFormatting sqref="J2:M19 N14:N19 O19:O26 J20:N26 J27:O27 N28:O31 J36:N40 J41:M141 H142:K188">
    <cfRule type="containsText" dxfId="138" priority="5" operator="containsText" text="Não">
      <formula>NOT(ISERROR(SEARCH("Não",H2)))</formula>
    </cfRule>
  </conditionalFormatting>
  <conditionalFormatting sqref="J28:M35">
    <cfRule type="containsText" dxfId="137" priority="3" operator="containsText" text="Não">
      <formula>NOT(ISERROR(SEARCH("Não",J28)))</formula>
    </cfRule>
  </conditionalFormatting>
  <conditionalFormatting sqref="X28:AA31">
    <cfRule type="containsText" dxfId="136" priority="4" operator="containsText" text="Não">
      <formula>NOT(ISERROR(SEARCH("Não",X28)))</formula>
    </cfRule>
  </conditionalFormatting>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9">
        <x14:dataValidation type="list" allowBlank="1" showInputMessage="1" showErrorMessage="1" xr:uid="{939771F8-8115-4042-BC21-86143ABC161F}">
          <x14:formula1>
            <xm:f>Formatação!$D$2:$D$11</xm:f>
          </x14:formula1>
          <xm:sqref>W28:W31 N142:N1048576</xm:sqref>
        </x14:dataValidation>
        <x14:dataValidation type="list" allowBlank="1" showInputMessage="1" showErrorMessage="1" xr:uid="{6A15C7AC-91E2-4C5C-AE35-A3EA3F29D437}">
          <x14:formula1>
            <xm:f>Formatação!$E$2:$E$4</xm:f>
          </x14:formula1>
          <xm:sqref>X28:AA31 H142:K1048576 J2:M141</xm:sqref>
        </x14:dataValidation>
        <x14:dataValidation type="list" allowBlank="1" showInputMessage="1" showErrorMessage="1" xr:uid="{287AB056-B689-4129-A9D1-0A76DE2603A1}">
          <x14:formula1>
            <xm:f>Formatação!$B$2:$B$7</xm:f>
          </x14:formula1>
          <xm:sqref>U28:U31 C142:G1048576</xm:sqref>
        </x14:dataValidation>
        <x14:dataValidation type="list" allowBlank="1" showInputMessage="1" showErrorMessage="1" xr:uid="{11DE1D52-549F-4D1A-82E7-8571041C8A58}">
          <x14:formula1>
            <xm:f>Formatação!$C$2:$C$9</xm:f>
          </x14:formula1>
          <xm:sqref>V28:V31 M142:M1048576 P87:P141 E2:E93</xm:sqref>
        </x14:dataValidation>
        <x14:dataValidation type="list" allowBlank="1" showInputMessage="1" showErrorMessage="1" xr:uid="{3321FCFB-C65A-4CB8-A474-C6B3EABAAEA0}">
          <x14:formula1>
            <xm:f>Formatação!$D$2:$D$12</xm:f>
          </x14:formula1>
          <xm:sqref>G2:G87</xm:sqref>
        </x14:dataValidation>
        <x14:dataValidation type="list" allowBlank="1" showInputMessage="1" showErrorMessage="1" xr:uid="{A7515C19-0D22-41C0-B44D-5563DDED795A}">
          <x14:formula1>
            <xm:f>Formatação!$F$2:$F$16</xm:f>
          </x14:formula1>
          <xm:sqref>I2:I141</xm:sqref>
        </x14:dataValidation>
        <x14:dataValidation type="list" allowBlank="1" showInputMessage="1" showErrorMessage="1" xr:uid="{20FCB88F-2B11-4AA6-B55D-A10D0577BBB6}">
          <x14:formula1>
            <xm:f>Formatação!$G$2:$G$13</xm:f>
          </x14:formula1>
          <xm:sqref>H2:H141</xm:sqref>
        </x14:dataValidation>
        <x14:dataValidation type="list" allowBlank="1" showInputMessage="1" showErrorMessage="1" xr:uid="{E908F69D-44D2-481F-8646-20C4863C3738}">
          <x14:formula1>
            <xm:f>Formatação!$D$2:$D$29</xm:f>
          </x14:formula1>
          <xm:sqref>Q87:Q141 G2:G87</xm:sqref>
        </x14:dataValidation>
        <x14:dataValidation type="list" allowBlank="1" showInputMessage="1" showErrorMessage="1" xr:uid="{EBF3EC14-4F4E-4110-9805-F9F39E756C02}">
          <x14:formula1>
            <xm:f>Formatação!$A$2:$A$41</xm:f>
          </x14:formula1>
          <xm:sqref>T28:T31 C2:C141 E2:E141 G88:G141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91CB2-2019-4317-A5C2-BF01B96F0385}">
  <dimension ref="A1:T353"/>
  <sheetViews>
    <sheetView topLeftCell="A92" workbookViewId="0">
      <selection activeCell="C99" sqref="C96:C99"/>
    </sheetView>
  </sheetViews>
  <sheetFormatPr defaultColWidth="8.85546875" defaultRowHeight="14.45"/>
  <cols>
    <col min="1" max="1" width="36.42578125" bestFit="1" customWidth="1"/>
    <col min="2" max="2" width="88.42578125" customWidth="1"/>
    <col min="3" max="3" width="90.42578125" customWidth="1"/>
    <col min="4" max="4" width="20.42578125" customWidth="1"/>
    <col min="5" max="5" width="21.85546875" customWidth="1"/>
    <col min="6" max="7" width="36.42578125" bestFit="1" customWidth="1"/>
    <col min="8" max="8" width="31.42578125" bestFit="1" customWidth="1"/>
    <col min="9" max="11" width="36.42578125" bestFit="1" customWidth="1"/>
    <col min="12" max="12" width="30.28515625" bestFit="1" customWidth="1"/>
    <col min="13" max="13" width="31.42578125" bestFit="1" customWidth="1"/>
    <col min="14" max="14" width="36.42578125" bestFit="1" customWidth="1"/>
    <col min="15" max="15" width="14.28515625" bestFit="1" customWidth="1"/>
    <col min="16" max="16" width="31.42578125" bestFit="1" customWidth="1"/>
  </cols>
  <sheetData>
    <row r="1" spans="1:7" ht="57.95">
      <c r="A1" s="3" t="s">
        <v>391</v>
      </c>
      <c r="B1" s="3" t="s">
        <v>392</v>
      </c>
      <c r="F1" s="3"/>
    </row>
    <row r="2" spans="1:7" ht="87">
      <c r="A2" s="3" t="s">
        <v>393</v>
      </c>
      <c r="B2" s="3" t="s">
        <v>394</v>
      </c>
      <c r="F2" s="3"/>
    </row>
    <row r="3" spans="1:7" ht="57.95">
      <c r="A3" s="3" t="s">
        <v>395</v>
      </c>
      <c r="B3" s="3" t="s">
        <v>396</v>
      </c>
      <c r="F3" s="3"/>
    </row>
    <row r="4" spans="1:7" ht="72.599999999999994">
      <c r="A4" s="3" t="s">
        <v>397</v>
      </c>
      <c r="B4" s="3" t="s">
        <v>398</v>
      </c>
      <c r="F4" s="3"/>
    </row>
    <row r="5" spans="1:7" ht="101.45">
      <c r="A5" s="3" t="s">
        <v>399</v>
      </c>
      <c r="B5" s="3" t="s">
        <v>400</v>
      </c>
      <c r="F5" s="3"/>
    </row>
    <row r="6" spans="1:7">
      <c r="A6" s="3"/>
      <c r="B6" s="3"/>
      <c r="F6" s="3"/>
    </row>
    <row r="7" spans="1:7">
      <c r="A7" s="3"/>
      <c r="B7" s="3"/>
      <c r="F7" s="3"/>
    </row>
    <row r="11" spans="1:7">
      <c r="A11" s="3"/>
      <c r="B11" s="3"/>
      <c r="C11" s="3"/>
      <c r="F11" s="3"/>
    </row>
    <row r="12" spans="1:7">
      <c r="A12" s="3" t="s">
        <v>44</v>
      </c>
      <c r="B12" s="3" t="s">
        <v>401</v>
      </c>
      <c r="C12" s="3" t="s">
        <v>402</v>
      </c>
      <c r="F12" s="3"/>
    </row>
    <row r="13" spans="1:7" ht="43.5">
      <c r="A13" s="3" t="s">
        <v>403</v>
      </c>
      <c r="B13" s="3" t="s">
        <v>404</v>
      </c>
      <c r="C13" s="3" t="s">
        <v>405</v>
      </c>
      <c r="F13" s="3"/>
    </row>
    <row r="14" spans="1:7" ht="87">
      <c r="A14" s="3" t="s">
        <v>406</v>
      </c>
      <c r="B14" s="3" t="s">
        <v>407</v>
      </c>
      <c r="C14" s="3" t="s">
        <v>408</v>
      </c>
      <c r="E14" s="3" t="s">
        <v>403</v>
      </c>
      <c r="F14" s="3" t="s">
        <v>409</v>
      </c>
      <c r="G14" t="s">
        <v>410</v>
      </c>
    </row>
    <row r="15" spans="1:7" ht="72.599999999999994">
      <c r="A15" s="3" t="s">
        <v>411</v>
      </c>
      <c r="B15" s="3" t="s">
        <v>308</v>
      </c>
      <c r="C15" s="3" t="s">
        <v>412</v>
      </c>
      <c r="E15" s="3" t="s">
        <v>406</v>
      </c>
      <c r="F15" s="3" t="s">
        <v>409</v>
      </c>
      <c r="G15" t="s">
        <v>413</v>
      </c>
    </row>
    <row r="16" spans="1:7" ht="57.95">
      <c r="A16" s="3" t="s">
        <v>414</v>
      </c>
      <c r="B16" s="3" t="s">
        <v>415</v>
      </c>
      <c r="C16" s="3" t="s">
        <v>416</v>
      </c>
      <c r="E16" s="3" t="s">
        <v>411</v>
      </c>
      <c r="F16" s="3" t="s">
        <v>231</v>
      </c>
      <c r="G16" t="s">
        <v>357</v>
      </c>
    </row>
    <row r="17" spans="1:7" ht="101.45">
      <c r="A17" s="3" t="s">
        <v>417</v>
      </c>
      <c r="B17" s="3" t="s">
        <v>418</v>
      </c>
      <c r="C17" s="3" t="s">
        <v>419</v>
      </c>
      <c r="E17" s="3" t="s">
        <v>414</v>
      </c>
      <c r="F17" s="3" t="s">
        <v>409</v>
      </c>
      <c r="G17" t="s">
        <v>413</v>
      </c>
    </row>
    <row r="18" spans="1:7" ht="87">
      <c r="A18" s="3" t="s">
        <v>420</v>
      </c>
      <c r="B18" s="3" t="s">
        <v>421</v>
      </c>
      <c r="C18" s="3" t="s">
        <v>422</v>
      </c>
      <c r="E18" s="3" t="s">
        <v>417</v>
      </c>
      <c r="F18" s="3" t="s">
        <v>231</v>
      </c>
      <c r="G18" t="s">
        <v>423</v>
      </c>
    </row>
    <row r="19" spans="1:7" ht="57.95">
      <c r="A19" s="3" t="s">
        <v>391</v>
      </c>
      <c r="B19" s="3" t="s">
        <v>421</v>
      </c>
      <c r="C19" s="3" t="s">
        <v>424</v>
      </c>
      <c r="E19" s="3" t="s">
        <v>420</v>
      </c>
      <c r="F19" s="3" t="s">
        <v>425</v>
      </c>
      <c r="G19" t="s">
        <v>357</v>
      </c>
    </row>
    <row r="20" spans="1:7" ht="101.45">
      <c r="A20" s="3" t="s">
        <v>393</v>
      </c>
      <c r="B20" s="3" t="s">
        <v>418</v>
      </c>
      <c r="C20" s="3" t="s">
        <v>426</v>
      </c>
      <c r="E20" s="3" t="s">
        <v>391</v>
      </c>
      <c r="F20" s="3" t="s">
        <v>231</v>
      </c>
      <c r="G20" t="s">
        <v>423</v>
      </c>
    </row>
    <row r="21" spans="1:7" ht="130.5">
      <c r="A21" s="3" t="s">
        <v>395</v>
      </c>
      <c r="B21" s="3" t="s">
        <v>404</v>
      </c>
      <c r="C21" s="3" t="s">
        <v>427</v>
      </c>
      <c r="E21" s="3" t="s">
        <v>393</v>
      </c>
      <c r="F21" s="3" t="s">
        <v>409</v>
      </c>
      <c r="G21" t="s">
        <v>232</v>
      </c>
    </row>
    <row r="22" spans="1:7" ht="116.1">
      <c r="A22" s="3" t="s">
        <v>399</v>
      </c>
      <c r="B22" t="s">
        <v>404</v>
      </c>
      <c r="C22" s="3" t="s">
        <v>428</v>
      </c>
      <c r="E22" s="3" t="s">
        <v>395</v>
      </c>
      <c r="F22" t="s">
        <v>425</v>
      </c>
      <c r="G22" t="s">
        <v>357</v>
      </c>
    </row>
    <row r="23" spans="1:7" ht="174">
      <c r="E23" s="3" t="s">
        <v>399</v>
      </c>
      <c r="F23" t="s">
        <v>425</v>
      </c>
      <c r="G23" t="s">
        <v>357</v>
      </c>
    </row>
    <row r="26" spans="1:7" ht="15.6">
      <c r="A26" s="62"/>
      <c r="B26" s="62"/>
      <c r="D26" s="62"/>
      <c r="E26" s="63"/>
    </row>
    <row r="27" spans="1:7" ht="15.6">
      <c r="A27" s="62"/>
      <c r="B27" s="63"/>
      <c r="D27" s="62"/>
      <c r="E27" s="63"/>
      <c r="F27" s="3"/>
      <c r="G27" s="3"/>
    </row>
    <row r="28" spans="1:7" ht="15.6">
      <c r="A28" s="62"/>
      <c r="B28" s="63"/>
      <c r="D28" s="62"/>
      <c r="E28" s="63"/>
      <c r="F28" s="3"/>
      <c r="G28" s="3"/>
    </row>
    <row r="29" spans="1:7" ht="15.6">
      <c r="A29" s="62"/>
      <c r="B29" s="63"/>
      <c r="D29" s="62"/>
      <c r="E29" s="63"/>
      <c r="F29" s="3"/>
      <c r="G29" s="3"/>
    </row>
    <row r="30" spans="1:7" ht="15.6">
      <c r="A30" s="62"/>
      <c r="B30" s="63"/>
      <c r="D30" s="62"/>
      <c r="E30" s="63"/>
      <c r="F30" s="3"/>
      <c r="G30" s="3"/>
    </row>
    <row r="31" spans="1:7" ht="15.6">
      <c r="A31" s="62"/>
      <c r="B31" s="63"/>
      <c r="D31" s="62"/>
      <c r="E31" s="63"/>
      <c r="F31" s="3"/>
      <c r="G31" s="3"/>
    </row>
    <row r="32" spans="1:7" ht="15.6">
      <c r="A32" s="62"/>
      <c r="B32" s="63"/>
      <c r="D32" s="62"/>
      <c r="E32" s="63"/>
      <c r="F32" s="3"/>
      <c r="G32" s="3"/>
    </row>
    <row r="33" spans="1:7" ht="15.6">
      <c r="D33" s="62"/>
      <c r="E33" s="63"/>
      <c r="F33" s="3"/>
      <c r="G33" s="3"/>
    </row>
    <row r="34" spans="1:7" ht="15.6">
      <c r="D34" s="62"/>
      <c r="E34" s="63"/>
      <c r="F34" s="3"/>
      <c r="G34" s="3"/>
    </row>
    <row r="35" spans="1:7" ht="15.6">
      <c r="D35" s="62"/>
      <c r="E35" s="63"/>
      <c r="F35" s="3"/>
      <c r="G35" s="3"/>
    </row>
    <row r="36" spans="1:7" ht="15.6">
      <c r="D36" s="62"/>
      <c r="E36" s="63"/>
      <c r="F36" s="3"/>
      <c r="G36" s="3"/>
    </row>
    <row r="37" spans="1:7" ht="15.6">
      <c r="D37" s="62"/>
      <c r="E37" s="63"/>
      <c r="F37" s="3"/>
      <c r="G37" s="3"/>
    </row>
    <row r="38" spans="1:7">
      <c r="D38" s="3"/>
      <c r="E38" s="3"/>
      <c r="F38" s="3"/>
      <c r="G38" s="3"/>
    </row>
    <row r="39" spans="1:7">
      <c r="D39" s="3"/>
      <c r="E39" s="3"/>
      <c r="F39" s="3"/>
      <c r="G39" s="3"/>
    </row>
    <row r="40" spans="1:7">
      <c r="D40" s="3"/>
      <c r="E40" s="3"/>
      <c r="F40" s="3"/>
      <c r="G40" s="3"/>
    </row>
    <row r="41" spans="1:7">
      <c r="F41" s="3"/>
      <c r="G41" s="3"/>
    </row>
    <row r="48" spans="1:7">
      <c r="A48" s="3"/>
      <c r="B48" s="3"/>
      <c r="F48" s="3"/>
    </row>
    <row r="49" spans="1:17">
      <c r="A49" s="3" t="s">
        <v>44</v>
      </c>
      <c r="B49" s="3" t="s">
        <v>429</v>
      </c>
      <c r="C49" t="s">
        <v>224</v>
      </c>
      <c r="D49" t="s">
        <v>430</v>
      </c>
      <c r="E49" t="s">
        <v>431</v>
      </c>
      <c r="F49" s="3" t="s">
        <v>432</v>
      </c>
      <c r="G49" t="s">
        <v>433</v>
      </c>
      <c r="H49" t="s">
        <v>227</v>
      </c>
      <c r="I49" t="s">
        <v>5</v>
      </c>
      <c r="J49" t="s">
        <v>6</v>
      </c>
      <c r="K49" t="s">
        <v>7</v>
      </c>
      <c r="L49" t="s">
        <v>8</v>
      </c>
    </row>
    <row r="50" spans="1:17" ht="43.5">
      <c r="A50" s="3" t="s">
        <v>434</v>
      </c>
      <c r="B50" s="3" t="s">
        <v>435</v>
      </c>
      <c r="C50" t="s">
        <v>436</v>
      </c>
      <c r="D50" t="s">
        <v>102</v>
      </c>
      <c r="E50" t="s">
        <v>437</v>
      </c>
      <c r="F50" s="3" t="s">
        <v>271</v>
      </c>
      <c r="G50" t="s">
        <v>409</v>
      </c>
      <c r="H50" t="s">
        <v>413</v>
      </c>
      <c r="I50" t="s">
        <v>16</v>
      </c>
      <c r="J50" t="s">
        <v>16</v>
      </c>
      <c r="K50" t="s">
        <v>16</v>
      </c>
      <c r="L50" t="s">
        <v>16</v>
      </c>
    </row>
    <row r="51" spans="1:17" ht="29.1">
      <c r="A51" s="3" t="s">
        <v>438</v>
      </c>
      <c r="B51" s="3" t="s">
        <v>439</v>
      </c>
      <c r="C51" t="s">
        <v>436</v>
      </c>
      <c r="D51" t="s">
        <v>102</v>
      </c>
      <c r="E51" t="s">
        <v>437</v>
      </c>
      <c r="F51" s="3" t="s">
        <v>271</v>
      </c>
      <c r="G51" t="s">
        <v>409</v>
      </c>
      <c r="H51" t="s">
        <v>413</v>
      </c>
      <c r="I51" t="s">
        <v>16</v>
      </c>
      <c r="J51" t="s">
        <v>16</v>
      </c>
      <c r="K51" t="s">
        <v>16</v>
      </c>
      <c r="L51" t="s">
        <v>16</v>
      </c>
    </row>
    <row r="52" spans="1:17" ht="43.5">
      <c r="A52" s="3" t="s">
        <v>440</v>
      </c>
      <c r="B52" s="3" t="s">
        <v>441</v>
      </c>
      <c r="C52" t="s">
        <v>436</v>
      </c>
      <c r="D52" t="s">
        <v>102</v>
      </c>
      <c r="E52" t="s">
        <v>437</v>
      </c>
      <c r="F52" s="3" t="s">
        <v>271</v>
      </c>
      <c r="G52" t="s">
        <v>409</v>
      </c>
      <c r="H52" t="s">
        <v>413</v>
      </c>
      <c r="I52" t="s">
        <v>16</v>
      </c>
      <c r="J52" t="s">
        <v>16</v>
      </c>
      <c r="K52" t="s">
        <v>16</v>
      </c>
      <c r="L52" t="s">
        <v>16</v>
      </c>
    </row>
    <row r="53" spans="1:17" ht="57.95">
      <c r="A53" s="3" t="s">
        <v>442</v>
      </c>
      <c r="B53" s="3" t="s">
        <v>443</v>
      </c>
      <c r="C53" t="s">
        <v>436</v>
      </c>
      <c r="D53" t="s">
        <v>102</v>
      </c>
      <c r="E53" t="s">
        <v>437</v>
      </c>
      <c r="F53" s="3" t="s">
        <v>271</v>
      </c>
      <c r="G53" t="s">
        <v>409</v>
      </c>
      <c r="H53" t="s">
        <v>413</v>
      </c>
      <c r="I53" t="s">
        <v>16</v>
      </c>
      <c r="J53" t="s">
        <v>16</v>
      </c>
      <c r="K53" t="s">
        <v>16</v>
      </c>
      <c r="L53" t="s">
        <v>16</v>
      </c>
    </row>
    <row r="54" spans="1:17" ht="43.5">
      <c r="A54" s="3" t="s">
        <v>444</v>
      </c>
      <c r="B54" s="3" t="s">
        <v>445</v>
      </c>
      <c r="C54" t="s">
        <v>436</v>
      </c>
      <c r="D54" t="s">
        <v>102</v>
      </c>
      <c r="E54" t="s">
        <v>437</v>
      </c>
      <c r="F54" s="3" t="s">
        <v>271</v>
      </c>
      <c r="G54" t="s">
        <v>409</v>
      </c>
      <c r="H54" t="s">
        <v>413</v>
      </c>
      <c r="I54" t="s">
        <v>16</v>
      </c>
      <c r="J54" t="s">
        <v>16</v>
      </c>
      <c r="K54" t="s">
        <v>16</v>
      </c>
      <c r="L54" t="s">
        <v>16</v>
      </c>
    </row>
    <row r="55" spans="1:17" ht="29.1">
      <c r="A55" s="3" t="s">
        <v>446</v>
      </c>
      <c r="B55" s="3" t="s">
        <v>447</v>
      </c>
      <c r="C55" t="s">
        <v>448</v>
      </c>
      <c r="D55" t="s">
        <v>67</v>
      </c>
      <c r="E55" t="s">
        <v>12</v>
      </c>
      <c r="F55" s="3" t="s">
        <v>29</v>
      </c>
      <c r="G55" t="s">
        <v>425</v>
      </c>
      <c r="H55" t="s">
        <v>357</v>
      </c>
      <c r="I55" t="s">
        <v>16</v>
      </c>
      <c r="J55" t="s">
        <v>16</v>
      </c>
      <c r="K55" t="s">
        <v>16</v>
      </c>
      <c r="L55" t="s">
        <v>16</v>
      </c>
    </row>
    <row r="56" spans="1:17">
      <c r="A56" s="3"/>
      <c r="B56" s="3"/>
      <c r="F56" s="3"/>
    </row>
    <row r="59" spans="1:17">
      <c r="F59" s="3" t="s">
        <v>44</v>
      </c>
      <c r="G59" s="3" t="s">
        <v>429</v>
      </c>
      <c r="H59" t="s">
        <v>224</v>
      </c>
      <c r="I59" t="s">
        <v>430</v>
      </c>
      <c r="J59" t="s">
        <v>431</v>
      </c>
      <c r="K59" s="3" t="s">
        <v>432</v>
      </c>
      <c r="L59" t="s">
        <v>433</v>
      </c>
      <c r="M59" t="s">
        <v>227</v>
      </c>
      <c r="N59" t="s">
        <v>5</v>
      </c>
      <c r="O59" t="s">
        <v>6</v>
      </c>
      <c r="P59" t="s">
        <v>7</v>
      </c>
      <c r="Q59" t="s">
        <v>8</v>
      </c>
    </row>
    <row r="60" spans="1:17" ht="57.95">
      <c r="F60" s="3" t="s">
        <v>449</v>
      </c>
      <c r="G60" s="3" t="s">
        <v>450</v>
      </c>
      <c r="H60" t="s">
        <v>451</v>
      </c>
      <c r="I60" t="s">
        <v>452</v>
      </c>
      <c r="J60" t="s">
        <v>53</v>
      </c>
      <c r="K60" s="3" t="s">
        <v>421</v>
      </c>
      <c r="L60" t="s">
        <v>453</v>
      </c>
      <c r="M60" t="s">
        <v>423</v>
      </c>
      <c r="N60" t="s">
        <v>16</v>
      </c>
      <c r="O60" t="s">
        <v>16</v>
      </c>
      <c r="P60" t="s">
        <v>16</v>
      </c>
      <c r="Q60" t="s">
        <v>16</v>
      </c>
    </row>
    <row r="61" spans="1:17" ht="72.599999999999994">
      <c r="F61" s="3" t="s">
        <v>454</v>
      </c>
      <c r="G61" s="3" t="s">
        <v>455</v>
      </c>
      <c r="H61" t="s">
        <v>451</v>
      </c>
      <c r="I61" t="s">
        <v>452</v>
      </c>
      <c r="J61" t="s">
        <v>31</v>
      </c>
      <c r="K61" s="3" t="s">
        <v>421</v>
      </c>
      <c r="L61" t="s">
        <v>231</v>
      </c>
      <c r="M61" t="s">
        <v>456</v>
      </c>
      <c r="N61" t="s">
        <v>16</v>
      </c>
      <c r="O61" t="s">
        <v>16</v>
      </c>
      <c r="P61" t="s">
        <v>16</v>
      </c>
      <c r="Q61" t="s">
        <v>16</v>
      </c>
    </row>
    <row r="62" spans="1:17" ht="57.95">
      <c r="F62" s="3" t="s">
        <v>457</v>
      </c>
      <c r="G62" s="3" t="s">
        <v>458</v>
      </c>
      <c r="H62" t="s">
        <v>459</v>
      </c>
      <c r="I62" t="s">
        <v>25</v>
      </c>
      <c r="J62" t="s">
        <v>437</v>
      </c>
      <c r="K62" s="3" t="s">
        <v>421</v>
      </c>
      <c r="L62" t="s">
        <v>231</v>
      </c>
      <c r="M62" t="s">
        <v>341</v>
      </c>
      <c r="N62" t="s">
        <v>16</v>
      </c>
      <c r="O62" t="s">
        <v>16</v>
      </c>
      <c r="P62" t="s">
        <v>16</v>
      </c>
      <c r="Q62" t="s">
        <v>16</v>
      </c>
    </row>
    <row r="63" spans="1:17" ht="57.95">
      <c r="F63" s="3" t="s">
        <v>460</v>
      </c>
      <c r="G63" s="3" t="s">
        <v>461</v>
      </c>
      <c r="H63" t="s">
        <v>448</v>
      </c>
      <c r="I63" t="s">
        <v>67</v>
      </c>
      <c r="J63" t="s">
        <v>12</v>
      </c>
      <c r="K63" s="3" t="s">
        <v>421</v>
      </c>
      <c r="L63" t="s">
        <v>231</v>
      </c>
      <c r="M63" t="s">
        <v>357</v>
      </c>
      <c r="N63" t="s">
        <v>16</v>
      </c>
      <c r="O63" t="s">
        <v>16</v>
      </c>
      <c r="P63" t="s">
        <v>16</v>
      </c>
      <c r="Q63" t="s">
        <v>16</v>
      </c>
    </row>
    <row r="64" spans="1:17" ht="57.95">
      <c r="F64" s="3" t="s">
        <v>462</v>
      </c>
      <c r="G64" s="3" t="s">
        <v>463</v>
      </c>
      <c r="H64" t="s">
        <v>448</v>
      </c>
      <c r="I64" t="s">
        <v>67</v>
      </c>
      <c r="J64" t="s">
        <v>12</v>
      </c>
      <c r="K64" s="3" t="s">
        <v>421</v>
      </c>
      <c r="L64" t="s">
        <v>231</v>
      </c>
      <c r="M64" t="s">
        <v>357</v>
      </c>
      <c r="N64" t="s">
        <v>16</v>
      </c>
      <c r="O64" t="s">
        <v>16</v>
      </c>
      <c r="P64" t="s">
        <v>16</v>
      </c>
      <c r="Q64" t="s">
        <v>16</v>
      </c>
    </row>
    <row r="65" spans="6:20" ht="57.95">
      <c r="F65" s="3" t="s">
        <v>464</v>
      </c>
      <c r="G65" s="3" t="s">
        <v>465</v>
      </c>
      <c r="H65" t="s">
        <v>451</v>
      </c>
      <c r="I65" t="s">
        <v>452</v>
      </c>
      <c r="J65" t="s">
        <v>31</v>
      </c>
      <c r="K65" s="3" t="s">
        <v>33</v>
      </c>
      <c r="L65" t="s">
        <v>231</v>
      </c>
      <c r="M65" t="s">
        <v>423</v>
      </c>
      <c r="N65" t="s">
        <v>16</v>
      </c>
      <c r="O65" t="s">
        <v>16</v>
      </c>
      <c r="P65" t="s">
        <v>16</v>
      </c>
      <c r="Q65" t="s">
        <v>16</v>
      </c>
    </row>
    <row r="66" spans="6:20" ht="72.599999999999994">
      <c r="F66" s="3" t="s">
        <v>466</v>
      </c>
      <c r="G66" s="3" t="s">
        <v>467</v>
      </c>
      <c r="H66" t="s">
        <v>451</v>
      </c>
      <c r="I66" t="s">
        <v>452</v>
      </c>
      <c r="J66" t="s">
        <v>31</v>
      </c>
      <c r="K66" s="3" t="s">
        <v>33</v>
      </c>
      <c r="L66" t="s">
        <v>231</v>
      </c>
      <c r="M66" t="s">
        <v>423</v>
      </c>
      <c r="N66" t="s">
        <v>16</v>
      </c>
      <c r="O66" t="s">
        <v>16</v>
      </c>
      <c r="P66" t="s">
        <v>16</v>
      </c>
      <c r="Q66" t="s">
        <v>16</v>
      </c>
    </row>
    <row r="67" spans="6:20" ht="57.95">
      <c r="F67" s="3" t="s">
        <v>468</v>
      </c>
      <c r="G67" s="3" t="s">
        <v>469</v>
      </c>
      <c r="H67" t="s">
        <v>451</v>
      </c>
      <c r="I67" t="s">
        <v>452</v>
      </c>
      <c r="J67" t="s">
        <v>53</v>
      </c>
      <c r="K67" s="3" t="s">
        <v>421</v>
      </c>
      <c r="L67" t="s">
        <v>453</v>
      </c>
      <c r="M67" t="s">
        <v>423</v>
      </c>
      <c r="N67" t="s">
        <v>16</v>
      </c>
      <c r="O67" t="s">
        <v>16</v>
      </c>
      <c r="P67" t="s">
        <v>16</v>
      </c>
      <c r="Q67" t="s">
        <v>16</v>
      </c>
    </row>
    <row r="68" spans="6:20" ht="87">
      <c r="F68" s="3" t="s">
        <v>470</v>
      </c>
      <c r="G68" s="3" t="s">
        <v>471</v>
      </c>
      <c r="H68" t="s">
        <v>448</v>
      </c>
      <c r="I68" t="s">
        <v>67</v>
      </c>
      <c r="J68" t="s">
        <v>12</v>
      </c>
      <c r="K68" s="3" t="s">
        <v>421</v>
      </c>
      <c r="L68" t="s">
        <v>231</v>
      </c>
      <c r="M68" t="s">
        <v>357</v>
      </c>
      <c r="N68" t="s">
        <v>16</v>
      </c>
      <c r="O68" t="s">
        <v>16</v>
      </c>
      <c r="P68" t="s">
        <v>16</v>
      </c>
      <c r="Q68" t="s">
        <v>16</v>
      </c>
    </row>
    <row r="69" spans="6:20" ht="57.95">
      <c r="F69" s="3" t="s">
        <v>472</v>
      </c>
      <c r="G69" s="3" t="s">
        <v>473</v>
      </c>
      <c r="H69" t="s">
        <v>448</v>
      </c>
      <c r="I69" t="s">
        <v>67</v>
      </c>
      <c r="J69" t="s">
        <v>12</v>
      </c>
      <c r="K69" s="3" t="s">
        <v>421</v>
      </c>
      <c r="L69" t="s">
        <v>231</v>
      </c>
      <c r="M69" t="s">
        <v>357</v>
      </c>
      <c r="N69" t="s">
        <v>16</v>
      </c>
      <c r="O69" t="s">
        <v>16</v>
      </c>
      <c r="P69" t="s">
        <v>16</v>
      </c>
      <c r="Q69" t="s">
        <v>16</v>
      </c>
    </row>
    <row r="70" spans="6:20" ht="72.599999999999994">
      <c r="F70" s="3" t="s">
        <v>474</v>
      </c>
      <c r="G70" s="3" t="s">
        <v>475</v>
      </c>
      <c r="H70" t="s">
        <v>459</v>
      </c>
      <c r="I70" t="s">
        <v>25</v>
      </c>
      <c r="J70" t="s">
        <v>53</v>
      </c>
      <c r="K70" s="3" t="s">
        <v>421</v>
      </c>
      <c r="L70" t="s">
        <v>231</v>
      </c>
      <c r="M70" t="s">
        <v>423</v>
      </c>
      <c r="N70" t="s">
        <v>16</v>
      </c>
      <c r="O70" t="s">
        <v>16</v>
      </c>
      <c r="P70" t="s">
        <v>16</v>
      </c>
      <c r="Q70" t="s">
        <v>16</v>
      </c>
    </row>
    <row r="71" spans="6:20" ht="87">
      <c r="F71" s="3" t="s">
        <v>476</v>
      </c>
      <c r="G71" s="3" t="s">
        <v>477</v>
      </c>
      <c r="H71" t="s">
        <v>459</v>
      </c>
      <c r="I71" t="s">
        <v>25</v>
      </c>
      <c r="J71" t="s">
        <v>53</v>
      </c>
      <c r="K71" s="3" t="s">
        <v>421</v>
      </c>
      <c r="L71" t="s">
        <v>231</v>
      </c>
      <c r="M71" t="s">
        <v>232</v>
      </c>
      <c r="N71" t="s">
        <v>16</v>
      </c>
      <c r="O71" t="s">
        <v>16</v>
      </c>
      <c r="P71" t="s">
        <v>16</v>
      </c>
      <c r="Q71" t="s">
        <v>16</v>
      </c>
    </row>
    <row r="72" spans="6:20" ht="57.95">
      <c r="F72" s="3" t="s">
        <v>478</v>
      </c>
      <c r="G72" s="3" t="s">
        <v>479</v>
      </c>
      <c r="H72" t="s">
        <v>459</v>
      </c>
      <c r="I72" t="s">
        <v>25</v>
      </c>
      <c r="J72" t="s">
        <v>53</v>
      </c>
      <c r="K72" s="3" t="s">
        <v>421</v>
      </c>
      <c r="L72" t="s">
        <v>231</v>
      </c>
      <c r="M72" t="s">
        <v>357</v>
      </c>
      <c r="N72" t="s">
        <v>16</v>
      </c>
      <c r="O72" t="s">
        <v>16</v>
      </c>
      <c r="P72" t="s">
        <v>16</v>
      </c>
      <c r="Q72" t="s">
        <v>16</v>
      </c>
    </row>
    <row r="73" spans="6:20" ht="130.5">
      <c r="F73" s="3" t="s">
        <v>480</v>
      </c>
      <c r="G73" s="3" t="s">
        <v>481</v>
      </c>
      <c r="H73" t="s">
        <v>448</v>
      </c>
      <c r="I73" t="s">
        <v>67</v>
      </c>
      <c r="J73" t="s">
        <v>12</v>
      </c>
      <c r="K73" s="3" t="s">
        <v>421</v>
      </c>
      <c r="L73" t="s">
        <v>231</v>
      </c>
      <c r="M73" t="s">
        <v>357</v>
      </c>
      <c r="N73" t="s">
        <v>16</v>
      </c>
      <c r="O73" t="s">
        <v>16</v>
      </c>
      <c r="P73" t="s">
        <v>16</v>
      </c>
      <c r="Q73" t="s">
        <v>482</v>
      </c>
    </row>
    <row r="76" spans="6:20" ht="101.45">
      <c r="I76" s="3" t="s">
        <v>483</v>
      </c>
      <c r="J76" s="3" t="s">
        <v>484</v>
      </c>
      <c r="K76" t="s">
        <v>448</v>
      </c>
      <c r="L76" t="s">
        <v>67</v>
      </c>
      <c r="M76" t="s">
        <v>12</v>
      </c>
      <c r="N76" t="s">
        <v>421</v>
      </c>
      <c r="O76" t="s">
        <v>409</v>
      </c>
      <c r="P76" t="s">
        <v>357</v>
      </c>
      <c r="Q76" t="s">
        <v>15</v>
      </c>
      <c r="R76" t="s">
        <v>15</v>
      </c>
      <c r="S76" t="s">
        <v>16</v>
      </c>
      <c r="T76" t="s">
        <v>16</v>
      </c>
    </row>
    <row r="77" spans="6:20" ht="116.1">
      <c r="I77" s="3" t="s">
        <v>485</v>
      </c>
      <c r="J77" s="3" t="s">
        <v>486</v>
      </c>
      <c r="K77" t="s">
        <v>448</v>
      </c>
      <c r="L77" t="s">
        <v>67</v>
      </c>
      <c r="M77" t="s">
        <v>12</v>
      </c>
      <c r="N77" t="s">
        <v>421</v>
      </c>
      <c r="O77" t="s">
        <v>409</v>
      </c>
      <c r="P77" t="s">
        <v>357</v>
      </c>
      <c r="Q77" t="s">
        <v>15</v>
      </c>
      <c r="R77" t="s">
        <v>15</v>
      </c>
      <c r="S77" t="s">
        <v>16</v>
      </c>
      <c r="T77" t="s">
        <v>16</v>
      </c>
    </row>
    <row r="78" spans="6:20" ht="72.599999999999994">
      <c r="I78" s="3" t="s">
        <v>487</v>
      </c>
      <c r="J78" s="3" t="s">
        <v>488</v>
      </c>
      <c r="K78" t="s">
        <v>448</v>
      </c>
      <c r="L78" t="s">
        <v>67</v>
      </c>
      <c r="M78" t="s">
        <v>12</v>
      </c>
      <c r="N78" t="s">
        <v>421</v>
      </c>
      <c r="O78" t="s">
        <v>409</v>
      </c>
      <c r="P78" t="s">
        <v>357</v>
      </c>
      <c r="Q78" t="s">
        <v>15</v>
      </c>
      <c r="R78" t="s">
        <v>15</v>
      </c>
      <c r="S78" t="s">
        <v>16</v>
      </c>
      <c r="T78" t="s">
        <v>16</v>
      </c>
    </row>
    <row r="79" spans="6:20" ht="130.5">
      <c r="I79" s="3" t="s">
        <v>489</v>
      </c>
      <c r="J79" s="3" t="s">
        <v>490</v>
      </c>
      <c r="K79" t="s">
        <v>448</v>
      </c>
      <c r="L79" t="s">
        <v>67</v>
      </c>
      <c r="M79" t="s">
        <v>12</v>
      </c>
      <c r="N79" t="s">
        <v>421</v>
      </c>
      <c r="O79" t="s">
        <v>409</v>
      </c>
      <c r="P79" t="s">
        <v>357</v>
      </c>
      <c r="Q79" t="s">
        <v>15</v>
      </c>
      <c r="R79" t="s">
        <v>15</v>
      </c>
      <c r="S79" t="s">
        <v>16</v>
      </c>
      <c r="T79" t="s">
        <v>16</v>
      </c>
    </row>
    <row r="84" spans="1:20" ht="57.95">
      <c r="A84" s="47" t="s">
        <v>491</v>
      </c>
      <c r="B84" s="47" t="s">
        <v>492</v>
      </c>
      <c r="C84" s="16" t="s">
        <v>493</v>
      </c>
      <c r="I84" s="3" t="s">
        <v>494</v>
      </c>
      <c r="J84" s="3" t="s">
        <v>495</v>
      </c>
      <c r="K84" t="s">
        <v>436</v>
      </c>
      <c r="L84" t="s">
        <v>102</v>
      </c>
      <c r="M84" t="s">
        <v>437</v>
      </c>
      <c r="N84" s="3" t="s">
        <v>271</v>
      </c>
      <c r="O84" t="s">
        <v>409</v>
      </c>
      <c r="P84" t="s">
        <v>413</v>
      </c>
      <c r="Q84" t="s">
        <v>16</v>
      </c>
      <c r="R84" t="s">
        <v>16</v>
      </c>
      <c r="S84" t="s">
        <v>16</v>
      </c>
      <c r="T84" t="s">
        <v>16</v>
      </c>
    </row>
    <row r="85" spans="1:20" ht="43.5">
      <c r="A85" s="16"/>
      <c r="B85" s="47" t="s">
        <v>496</v>
      </c>
      <c r="C85" s="16" t="s">
        <v>497</v>
      </c>
      <c r="I85" s="3" t="s">
        <v>498</v>
      </c>
      <c r="J85" s="3" t="s">
        <v>499</v>
      </c>
      <c r="K85" t="s">
        <v>436</v>
      </c>
      <c r="L85" t="s">
        <v>102</v>
      </c>
      <c r="M85" t="s">
        <v>437</v>
      </c>
      <c r="N85" s="3" t="s">
        <v>271</v>
      </c>
      <c r="O85" t="s">
        <v>409</v>
      </c>
      <c r="P85" t="s">
        <v>413</v>
      </c>
      <c r="Q85" t="s">
        <v>16</v>
      </c>
      <c r="R85" t="s">
        <v>16</v>
      </c>
      <c r="S85" t="s">
        <v>16</v>
      </c>
      <c r="T85" t="s">
        <v>16</v>
      </c>
    </row>
    <row r="86" spans="1:20" ht="43.5">
      <c r="A86" s="16"/>
      <c r="B86" s="47" t="s">
        <v>500</v>
      </c>
      <c r="C86" s="16" t="s">
        <v>501</v>
      </c>
      <c r="I86" s="3" t="s">
        <v>502</v>
      </c>
      <c r="J86" s="3" t="s">
        <v>503</v>
      </c>
      <c r="K86" t="s">
        <v>436</v>
      </c>
      <c r="L86" t="s">
        <v>102</v>
      </c>
      <c r="M86" t="s">
        <v>437</v>
      </c>
      <c r="N86" s="3" t="s">
        <v>271</v>
      </c>
      <c r="O86" t="s">
        <v>409</v>
      </c>
      <c r="P86" t="s">
        <v>413</v>
      </c>
      <c r="Q86" t="s">
        <v>16</v>
      </c>
      <c r="R86" t="s">
        <v>16</v>
      </c>
      <c r="S86" t="s">
        <v>16</v>
      </c>
      <c r="T86" t="s">
        <v>16</v>
      </c>
    </row>
    <row r="87" spans="1:20" ht="57.95">
      <c r="A87" s="16"/>
      <c r="B87" s="47" t="s">
        <v>504</v>
      </c>
      <c r="C87" s="16" t="s">
        <v>505</v>
      </c>
      <c r="I87" s="3" t="s">
        <v>506</v>
      </c>
      <c r="J87" s="3" t="s">
        <v>507</v>
      </c>
      <c r="K87" t="s">
        <v>459</v>
      </c>
      <c r="L87" t="s">
        <v>25</v>
      </c>
      <c r="M87" t="s">
        <v>12</v>
      </c>
      <c r="N87" s="3" t="s">
        <v>259</v>
      </c>
      <c r="O87" t="s">
        <v>409</v>
      </c>
      <c r="P87" t="s">
        <v>232</v>
      </c>
      <c r="Q87" t="s">
        <v>16</v>
      </c>
      <c r="R87" t="s">
        <v>16</v>
      </c>
      <c r="S87" t="s">
        <v>16</v>
      </c>
      <c r="T87" t="s">
        <v>16</v>
      </c>
    </row>
    <row r="88" spans="1:20" ht="72.599999999999994">
      <c r="A88" s="16"/>
      <c r="B88" s="47" t="s">
        <v>508</v>
      </c>
      <c r="C88" s="16" t="s">
        <v>509</v>
      </c>
      <c r="I88" s="3" t="s">
        <v>510</v>
      </c>
      <c r="J88" s="3" t="s">
        <v>511</v>
      </c>
      <c r="K88" t="s">
        <v>448</v>
      </c>
      <c r="L88" t="s">
        <v>67</v>
      </c>
      <c r="M88" t="s">
        <v>12</v>
      </c>
      <c r="N88" s="3" t="s">
        <v>23</v>
      </c>
      <c r="O88" t="s">
        <v>409</v>
      </c>
      <c r="P88" t="s">
        <v>232</v>
      </c>
      <c r="Q88" t="s">
        <v>16</v>
      </c>
      <c r="R88" t="s">
        <v>16</v>
      </c>
      <c r="S88" t="s">
        <v>16</v>
      </c>
      <c r="T88" t="s">
        <v>16</v>
      </c>
    </row>
    <row r="89" spans="1:20" ht="72.599999999999994">
      <c r="A89" s="16"/>
      <c r="B89" s="47" t="s">
        <v>512</v>
      </c>
      <c r="C89" s="16" t="s">
        <v>513</v>
      </c>
      <c r="I89" s="3" t="s">
        <v>514</v>
      </c>
      <c r="J89" s="3" t="s">
        <v>515</v>
      </c>
      <c r="K89" t="s">
        <v>436</v>
      </c>
      <c r="L89" t="s">
        <v>102</v>
      </c>
      <c r="M89" t="s">
        <v>437</v>
      </c>
      <c r="N89" s="3" t="s">
        <v>271</v>
      </c>
      <c r="O89" t="s">
        <v>409</v>
      </c>
      <c r="P89" t="s">
        <v>413</v>
      </c>
      <c r="Q89" t="s">
        <v>16</v>
      </c>
      <c r="R89" t="s">
        <v>16</v>
      </c>
      <c r="S89" t="s">
        <v>16</v>
      </c>
      <c r="T89" t="s">
        <v>16</v>
      </c>
    </row>
    <row r="90" spans="1:20" ht="72.599999999999994">
      <c r="A90" s="47" t="s">
        <v>55</v>
      </c>
      <c r="B90" s="47" t="s">
        <v>516</v>
      </c>
      <c r="C90" s="16" t="s">
        <v>517</v>
      </c>
      <c r="I90" s="3" t="s">
        <v>518</v>
      </c>
      <c r="J90" s="3" t="s">
        <v>519</v>
      </c>
      <c r="K90" t="s">
        <v>436</v>
      </c>
      <c r="L90" t="s">
        <v>102</v>
      </c>
      <c r="M90" t="s">
        <v>437</v>
      </c>
      <c r="N90" s="3" t="s">
        <v>271</v>
      </c>
      <c r="O90" t="s">
        <v>409</v>
      </c>
      <c r="P90" t="s">
        <v>413</v>
      </c>
      <c r="Q90" t="s">
        <v>16</v>
      </c>
      <c r="R90" t="s">
        <v>16</v>
      </c>
      <c r="S90" t="s">
        <v>16</v>
      </c>
      <c r="T90" t="s">
        <v>16</v>
      </c>
    </row>
    <row r="91" spans="1:20" ht="72.599999999999994">
      <c r="A91" s="16"/>
      <c r="B91" s="47" t="s">
        <v>520</v>
      </c>
      <c r="C91" s="16" t="s">
        <v>521</v>
      </c>
      <c r="I91" s="3" t="s">
        <v>522</v>
      </c>
      <c r="J91" s="3" t="s">
        <v>523</v>
      </c>
      <c r="K91" t="s">
        <v>448</v>
      </c>
      <c r="L91" t="s">
        <v>67</v>
      </c>
      <c r="M91" t="s">
        <v>12</v>
      </c>
      <c r="N91" s="3" t="s">
        <v>29</v>
      </c>
      <c r="O91" t="s">
        <v>409</v>
      </c>
      <c r="P91" t="s">
        <v>357</v>
      </c>
      <c r="Q91" t="s">
        <v>16</v>
      </c>
      <c r="R91" t="s">
        <v>16</v>
      </c>
      <c r="S91" t="s">
        <v>16</v>
      </c>
      <c r="T91" t="s">
        <v>16</v>
      </c>
    </row>
    <row r="92" spans="1:20" ht="29.1">
      <c r="A92" s="16"/>
      <c r="B92" s="47" t="s">
        <v>524</v>
      </c>
      <c r="C92" s="16" t="s">
        <v>525</v>
      </c>
    </row>
    <row r="93" spans="1:20">
      <c r="A93" s="16"/>
      <c r="B93" s="47" t="s">
        <v>526</v>
      </c>
      <c r="C93" s="16" t="s">
        <v>527</v>
      </c>
    </row>
    <row r="94" spans="1:20" ht="43.5">
      <c r="A94" s="16"/>
      <c r="B94" s="47" t="s">
        <v>528</v>
      </c>
      <c r="C94" s="16" t="s">
        <v>529</v>
      </c>
      <c r="I94" s="3" t="s">
        <v>530</v>
      </c>
      <c r="J94" s="3" t="s">
        <v>531</v>
      </c>
      <c r="K94" t="s">
        <v>436</v>
      </c>
      <c r="L94" t="s">
        <v>102</v>
      </c>
      <c r="M94" t="s">
        <v>437</v>
      </c>
      <c r="N94" s="3" t="s">
        <v>271</v>
      </c>
      <c r="O94" t="s">
        <v>409</v>
      </c>
      <c r="P94" t="s">
        <v>413</v>
      </c>
      <c r="Q94" t="s">
        <v>16</v>
      </c>
      <c r="R94" t="s">
        <v>16</v>
      </c>
      <c r="S94" t="s">
        <v>16</v>
      </c>
      <c r="T94" t="s">
        <v>16</v>
      </c>
    </row>
    <row r="95" spans="1:20" ht="101.45">
      <c r="A95" s="16"/>
      <c r="B95" s="47" t="s">
        <v>532</v>
      </c>
      <c r="C95" s="16" t="s">
        <v>533</v>
      </c>
      <c r="I95" s="3" t="s">
        <v>534</v>
      </c>
      <c r="J95" s="3" t="s">
        <v>535</v>
      </c>
      <c r="K95" t="s">
        <v>436</v>
      </c>
      <c r="L95" t="s">
        <v>102</v>
      </c>
      <c r="M95" t="s">
        <v>437</v>
      </c>
      <c r="N95" s="3" t="s">
        <v>271</v>
      </c>
      <c r="O95" t="s">
        <v>409</v>
      </c>
      <c r="P95" t="s">
        <v>413</v>
      </c>
      <c r="Q95" t="s">
        <v>16</v>
      </c>
      <c r="R95" t="s">
        <v>16</v>
      </c>
      <c r="S95" t="s">
        <v>16</v>
      </c>
      <c r="T95" t="s">
        <v>16</v>
      </c>
    </row>
    <row r="96" spans="1:20" ht="57.95">
      <c r="A96" s="47" t="s">
        <v>536</v>
      </c>
      <c r="B96" s="47" t="s">
        <v>537</v>
      </c>
      <c r="C96" s="16" t="s">
        <v>538</v>
      </c>
      <c r="I96" s="3" t="s">
        <v>539</v>
      </c>
      <c r="J96" s="3" t="s">
        <v>540</v>
      </c>
      <c r="K96" t="s">
        <v>541</v>
      </c>
      <c r="L96" t="s">
        <v>22</v>
      </c>
      <c r="M96" t="s">
        <v>437</v>
      </c>
      <c r="N96" s="3" t="s">
        <v>23</v>
      </c>
      <c r="O96" t="s">
        <v>409</v>
      </c>
      <c r="P96" t="s">
        <v>413</v>
      </c>
      <c r="Q96" t="s">
        <v>16</v>
      </c>
      <c r="R96" t="s">
        <v>16</v>
      </c>
      <c r="S96" t="s">
        <v>16</v>
      </c>
      <c r="T96" t="s">
        <v>16</v>
      </c>
    </row>
    <row r="97" spans="1:20" ht="57.95">
      <c r="A97" s="16"/>
      <c r="B97" s="47" t="s">
        <v>542</v>
      </c>
      <c r="C97" s="16" t="s">
        <v>543</v>
      </c>
      <c r="I97" s="3" t="s">
        <v>544</v>
      </c>
      <c r="J97" s="3" t="s">
        <v>545</v>
      </c>
      <c r="K97" t="s">
        <v>436</v>
      </c>
      <c r="L97" t="s">
        <v>102</v>
      </c>
      <c r="M97" t="s">
        <v>437</v>
      </c>
      <c r="N97" s="3" t="s">
        <v>271</v>
      </c>
      <c r="O97" t="s">
        <v>409</v>
      </c>
      <c r="P97" t="s">
        <v>413</v>
      </c>
      <c r="Q97" t="s">
        <v>16</v>
      </c>
      <c r="R97" t="s">
        <v>16</v>
      </c>
      <c r="S97" t="s">
        <v>16</v>
      </c>
      <c r="T97" t="s">
        <v>16</v>
      </c>
    </row>
    <row r="98" spans="1:20" ht="72.599999999999994">
      <c r="A98" s="16"/>
      <c r="B98" s="47" t="s">
        <v>546</v>
      </c>
      <c r="C98" s="16" t="s">
        <v>547</v>
      </c>
      <c r="I98" s="3" t="s">
        <v>548</v>
      </c>
      <c r="J98" s="3" t="s">
        <v>549</v>
      </c>
      <c r="K98" t="s">
        <v>436</v>
      </c>
      <c r="L98" t="s">
        <v>102</v>
      </c>
      <c r="M98" t="s">
        <v>437</v>
      </c>
      <c r="N98" s="3" t="s">
        <v>271</v>
      </c>
      <c r="O98" t="s">
        <v>409</v>
      </c>
      <c r="P98" t="s">
        <v>413</v>
      </c>
      <c r="Q98" t="s">
        <v>16</v>
      </c>
      <c r="R98" t="s">
        <v>16</v>
      </c>
      <c r="S98" t="s">
        <v>16</v>
      </c>
      <c r="T98" t="s">
        <v>16</v>
      </c>
    </row>
    <row r="99" spans="1:20" ht="116.1">
      <c r="A99" s="16"/>
      <c r="B99" s="47" t="s">
        <v>550</v>
      </c>
      <c r="C99" s="16" t="s">
        <v>551</v>
      </c>
      <c r="I99" s="3" t="s">
        <v>552</v>
      </c>
      <c r="J99" s="3" t="s">
        <v>553</v>
      </c>
      <c r="K99" t="s">
        <v>436</v>
      </c>
      <c r="L99" t="s">
        <v>102</v>
      </c>
      <c r="M99" t="s">
        <v>437</v>
      </c>
      <c r="N99" s="3" t="s">
        <v>271</v>
      </c>
      <c r="O99" t="s">
        <v>409</v>
      </c>
      <c r="P99" t="s">
        <v>413</v>
      </c>
      <c r="Q99" t="s">
        <v>16</v>
      </c>
      <c r="R99" t="s">
        <v>16</v>
      </c>
      <c r="S99" t="s">
        <v>16</v>
      </c>
      <c r="T99" t="s">
        <v>16</v>
      </c>
    </row>
    <row r="100" spans="1:20" ht="72.599999999999994">
      <c r="A100" s="16"/>
      <c r="B100" s="47" t="s">
        <v>554</v>
      </c>
      <c r="C100" s="16" t="s">
        <v>555</v>
      </c>
      <c r="I100" s="3" t="s">
        <v>556</v>
      </c>
      <c r="J100" s="3" t="s">
        <v>557</v>
      </c>
      <c r="K100" t="s">
        <v>541</v>
      </c>
      <c r="L100" t="s">
        <v>22</v>
      </c>
      <c r="M100" t="s">
        <v>437</v>
      </c>
      <c r="N100" s="3" t="s">
        <v>23</v>
      </c>
      <c r="O100" t="s">
        <v>409</v>
      </c>
      <c r="P100" t="s">
        <v>413</v>
      </c>
      <c r="Q100" t="s">
        <v>16</v>
      </c>
      <c r="R100" t="s">
        <v>16</v>
      </c>
      <c r="S100" t="s">
        <v>16</v>
      </c>
      <c r="T100" t="s">
        <v>16</v>
      </c>
    </row>
    <row r="101" spans="1:20" ht="72.599999999999994">
      <c r="I101" s="3" t="s">
        <v>558</v>
      </c>
      <c r="J101" s="3" t="s">
        <v>559</v>
      </c>
      <c r="K101" t="s">
        <v>541</v>
      </c>
      <c r="L101" t="s">
        <v>22</v>
      </c>
      <c r="M101" t="s">
        <v>437</v>
      </c>
      <c r="N101" s="3" t="s">
        <v>23</v>
      </c>
      <c r="O101" t="s">
        <v>409</v>
      </c>
      <c r="P101" t="s">
        <v>413</v>
      </c>
      <c r="Q101" t="s">
        <v>16</v>
      </c>
      <c r="R101" t="s">
        <v>16</v>
      </c>
      <c r="S101" t="s">
        <v>16</v>
      </c>
      <c r="T101" t="s">
        <v>16</v>
      </c>
    </row>
    <row r="102" spans="1:20" ht="72.599999999999994">
      <c r="I102" s="3" t="s">
        <v>560</v>
      </c>
      <c r="J102" s="3" t="s">
        <v>561</v>
      </c>
      <c r="K102" t="s">
        <v>541</v>
      </c>
      <c r="L102" t="s">
        <v>22</v>
      </c>
      <c r="M102" t="s">
        <v>437</v>
      </c>
      <c r="N102" s="3" t="s">
        <v>23</v>
      </c>
      <c r="O102" t="s">
        <v>409</v>
      </c>
      <c r="P102" t="s">
        <v>413</v>
      </c>
      <c r="Q102" t="s">
        <v>16</v>
      </c>
      <c r="R102" t="s">
        <v>16</v>
      </c>
      <c r="S102" t="s">
        <v>16</v>
      </c>
      <c r="T102" t="s">
        <v>16</v>
      </c>
    </row>
    <row r="103" spans="1:20" ht="72.599999999999994">
      <c r="I103" s="3" t="s">
        <v>562</v>
      </c>
      <c r="J103" s="3" t="s">
        <v>563</v>
      </c>
      <c r="K103" t="s">
        <v>451</v>
      </c>
      <c r="L103" t="s">
        <v>452</v>
      </c>
      <c r="M103" t="s">
        <v>31</v>
      </c>
      <c r="N103" s="3" t="s">
        <v>33</v>
      </c>
      <c r="O103" t="s">
        <v>231</v>
      </c>
      <c r="P103" t="s">
        <v>423</v>
      </c>
      <c r="Q103" t="s">
        <v>16</v>
      </c>
      <c r="R103" t="s">
        <v>16</v>
      </c>
      <c r="S103" t="s">
        <v>16</v>
      </c>
      <c r="T103" t="s">
        <v>16</v>
      </c>
    </row>
    <row r="104" spans="1:20" ht="57.95">
      <c r="A104" s="16"/>
      <c r="B104" s="47" t="s">
        <v>564</v>
      </c>
      <c r="C104" s="16" t="s">
        <v>565</v>
      </c>
      <c r="I104" s="3" t="s">
        <v>566</v>
      </c>
      <c r="J104" s="3" t="s">
        <v>567</v>
      </c>
      <c r="K104" t="s">
        <v>436</v>
      </c>
      <c r="L104" t="s">
        <v>102</v>
      </c>
      <c r="M104" t="s">
        <v>437</v>
      </c>
      <c r="N104" s="3" t="s">
        <v>271</v>
      </c>
      <c r="O104" t="s">
        <v>409</v>
      </c>
      <c r="P104" t="s">
        <v>413</v>
      </c>
      <c r="Q104" t="s">
        <v>16</v>
      </c>
      <c r="R104" t="s">
        <v>16</v>
      </c>
      <c r="S104" t="s">
        <v>16</v>
      </c>
      <c r="T104" t="s">
        <v>16</v>
      </c>
    </row>
    <row r="105" spans="1:20" ht="87">
      <c r="I105" s="3" t="s">
        <v>568</v>
      </c>
      <c r="J105" s="3" t="s">
        <v>569</v>
      </c>
      <c r="K105" t="s">
        <v>541</v>
      </c>
      <c r="L105" t="s">
        <v>22</v>
      </c>
      <c r="M105" t="s">
        <v>437</v>
      </c>
      <c r="N105" s="3" t="s">
        <v>23</v>
      </c>
      <c r="O105" t="s">
        <v>409</v>
      </c>
      <c r="P105" t="s">
        <v>413</v>
      </c>
      <c r="Q105" t="s">
        <v>16</v>
      </c>
      <c r="R105" t="s">
        <v>16</v>
      </c>
      <c r="S105" t="s">
        <v>16</v>
      </c>
      <c r="T105" t="s">
        <v>16</v>
      </c>
    </row>
    <row r="106" spans="1:20" ht="87">
      <c r="I106" s="3" t="s">
        <v>570</v>
      </c>
      <c r="J106" s="3" t="s">
        <v>571</v>
      </c>
      <c r="K106" t="s">
        <v>436</v>
      </c>
      <c r="L106" t="s">
        <v>102</v>
      </c>
      <c r="M106" t="s">
        <v>437</v>
      </c>
      <c r="N106" s="3" t="s">
        <v>271</v>
      </c>
      <c r="O106" t="s">
        <v>409</v>
      </c>
      <c r="P106" t="s">
        <v>413</v>
      </c>
      <c r="Q106" t="s">
        <v>16</v>
      </c>
      <c r="R106" t="s">
        <v>16</v>
      </c>
      <c r="S106" t="s">
        <v>16</v>
      </c>
      <c r="T106" t="s">
        <v>16</v>
      </c>
    </row>
    <row r="107" spans="1:20" ht="87">
      <c r="I107" s="3" t="s">
        <v>572</v>
      </c>
      <c r="J107" s="3" t="s">
        <v>571</v>
      </c>
      <c r="K107" t="s">
        <v>436</v>
      </c>
      <c r="L107" t="s">
        <v>102</v>
      </c>
      <c r="M107" t="s">
        <v>437</v>
      </c>
      <c r="N107" s="3" t="s">
        <v>271</v>
      </c>
      <c r="O107" t="s">
        <v>409</v>
      </c>
      <c r="P107" t="s">
        <v>413</v>
      </c>
      <c r="Q107" t="s">
        <v>16</v>
      </c>
      <c r="R107" t="s">
        <v>16</v>
      </c>
      <c r="S107" t="s">
        <v>16</v>
      </c>
      <c r="T107" t="s">
        <v>16</v>
      </c>
    </row>
    <row r="108" spans="1:20" ht="130.5">
      <c r="I108" s="3" t="s">
        <v>573</v>
      </c>
      <c r="J108" s="3" t="s">
        <v>574</v>
      </c>
      <c r="K108" t="s">
        <v>436</v>
      </c>
      <c r="L108" t="s">
        <v>102</v>
      </c>
      <c r="M108" t="s">
        <v>437</v>
      </c>
      <c r="N108" s="3" t="s">
        <v>271</v>
      </c>
      <c r="O108" t="s">
        <v>409</v>
      </c>
      <c r="P108" t="s">
        <v>413</v>
      </c>
      <c r="Q108" t="s">
        <v>16</v>
      </c>
      <c r="R108" t="s">
        <v>16</v>
      </c>
      <c r="S108" t="s">
        <v>16</v>
      </c>
      <c r="T108" t="s">
        <v>16</v>
      </c>
    </row>
    <row r="109" spans="1:20" ht="57.95">
      <c r="I109" s="3" t="s">
        <v>575</v>
      </c>
      <c r="J109" s="3" t="s">
        <v>576</v>
      </c>
      <c r="K109" t="s">
        <v>436</v>
      </c>
      <c r="L109" t="s">
        <v>102</v>
      </c>
      <c r="M109" t="s">
        <v>437</v>
      </c>
      <c r="N109" s="3" t="s">
        <v>271</v>
      </c>
      <c r="O109" t="s">
        <v>409</v>
      </c>
      <c r="P109" t="s">
        <v>413</v>
      </c>
      <c r="Q109" t="s">
        <v>16</v>
      </c>
      <c r="R109" t="s">
        <v>16</v>
      </c>
      <c r="S109" t="s">
        <v>16</v>
      </c>
      <c r="T109" t="s">
        <v>16</v>
      </c>
    </row>
    <row r="110" spans="1:20" ht="57.95">
      <c r="I110" s="3" t="s">
        <v>577</v>
      </c>
      <c r="J110" s="3" t="s">
        <v>578</v>
      </c>
      <c r="K110" t="s">
        <v>436</v>
      </c>
      <c r="L110" t="s">
        <v>102</v>
      </c>
      <c r="M110" t="s">
        <v>437</v>
      </c>
      <c r="N110" s="3" t="s">
        <v>271</v>
      </c>
      <c r="O110" t="s">
        <v>409</v>
      </c>
      <c r="P110" t="s">
        <v>413</v>
      </c>
      <c r="Q110" t="s">
        <v>16</v>
      </c>
      <c r="R110" t="s">
        <v>16</v>
      </c>
      <c r="S110" t="s">
        <v>16</v>
      </c>
      <c r="T110" t="s">
        <v>16</v>
      </c>
    </row>
    <row r="111" spans="1:20" ht="57.95">
      <c r="I111" s="3" t="s">
        <v>579</v>
      </c>
      <c r="J111" s="3" t="s">
        <v>580</v>
      </c>
      <c r="K111" t="s">
        <v>436</v>
      </c>
      <c r="L111" t="s">
        <v>102</v>
      </c>
      <c r="M111" t="s">
        <v>437</v>
      </c>
      <c r="N111" s="3" t="s">
        <v>271</v>
      </c>
      <c r="O111" t="s">
        <v>409</v>
      </c>
      <c r="P111" t="s">
        <v>413</v>
      </c>
      <c r="Q111" t="s">
        <v>16</v>
      </c>
      <c r="R111" t="s">
        <v>16</v>
      </c>
      <c r="S111" t="s">
        <v>16</v>
      </c>
      <c r="T111" t="s">
        <v>16</v>
      </c>
    </row>
    <row r="112" spans="1:20" ht="57.95">
      <c r="I112" s="3" t="s">
        <v>581</v>
      </c>
      <c r="J112" s="3" t="s">
        <v>582</v>
      </c>
      <c r="K112" t="s">
        <v>436</v>
      </c>
      <c r="L112" t="s">
        <v>102</v>
      </c>
      <c r="M112" t="s">
        <v>437</v>
      </c>
      <c r="N112" s="3" t="s">
        <v>271</v>
      </c>
      <c r="O112" t="s">
        <v>409</v>
      </c>
      <c r="P112" t="s">
        <v>413</v>
      </c>
      <c r="Q112" t="s">
        <v>16</v>
      </c>
      <c r="R112" t="s">
        <v>16</v>
      </c>
      <c r="S112" t="s">
        <v>16</v>
      </c>
      <c r="T112" t="s">
        <v>16</v>
      </c>
    </row>
    <row r="113" spans="9:20" ht="72.599999999999994">
      <c r="I113" s="3" t="s">
        <v>583</v>
      </c>
      <c r="J113" s="3" t="s">
        <v>584</v>
      </c>
      <c r="K113" t="s">
        <v>541</v>
      </c>
      <c r="L113" t="s">
        <v>22</v>
      </c>
      <c r="M113" t="s">
        <v>437</v>
      </c>
      <c r="N113" s="3" t="s">
        <v>23</v>
      </c>
      <c r="O113" t="s">
        <v>409</v>
      </c>
      <c r="P113" t="s">
        <v>413</v>
      </c>
      <c r="Q113" t="s">
        <v>16</v>
      </c>
      <c r="R113" t="s">
        <v>16</v>
      </c>
      <c r="S113" t="s">
        <v>16</v>
      </c>
      <c r="T113" t="s">
        <v>16</v>
      </c>
    </row>
    <row r="114" spans="9:20" ht="72.599999999999994">
      <c r="I114" s="3" t="s">
        <v>585</v>
      </c>
      <c r="J114" s="3" t="s">
        <v>586</v>
      </c>
      <c r="K114" t="s">
        <v>436</v>
      </c>
      <c r="L114" t="s">
        <v>102</v>
      </c>
      <c r="M114" t="s">
        <v>437</v>
      </c>
      <c r="N114" s="3" t="s">
        <v>271</v>
      </c>
      <c r="O114" t="s">
        <v>409</v>
      </c>
      <c r="P114" t="s">
        <v>413</v>
      </c>
      <c r="Q114" t="s">
        <v>16</v>
      </c>
      <c r="R114" t="s">
        <v>16</v>
      </c>
      <c r="S114" t="s">
        <v>16</v>
      </c>
      <c r="T114" t="s">
        <v>16</v>
      </c>
    </row>
    <row r="115" spans="9:20" ht="72.599999999999994">
      <c r="I115" s="3" t="s">
        <v>587</v>
      </c>
      <c r="J115" s="3" t="s">
        <v>588</v>
      </c>
      <c r="K115" t="s">
        <v>541</v>
      </c>
      <c r="L115" t="s">
        <v>22</v>
      </c>
      <c r="M115" t="s">
        <v>437</v>
      </c>
      <c r="N115" s="3" t="s">
        <v>23</v>
      </c>
      <c r="O115" t="s">
        <v>409</v>
      </c>
      <c r="P115" t="s">
        <v>413</v>
      </c>
      <c r="Q115" t="s">
        <v>16</v>
      </c>
      <c r="R115" t="s">
        <v>16</v>
      </c>
      <c r="S115" t="s">
        <v>16</v>
      </c>
      <c r="T115" t="s">
        <v>16</v>
      </c>
    </row>
    <row r="116" spans="9:20" ht="57.95">
      <c r="I116" s="3" t="s">
        <v>589</v>
      </c>
      <c r="J116" s="3" t="s">
        <v>590</v>
      </c>
      <c r="K116" t="s">
        <v>541</v>
      </c>
      <c r="L116" t="s">
        <v>22</v>
      </c>
      <c r="M116" t="s">
        <v>437</v>
      </c>
      <c r="N116" s="3" t="s">
        <v>23</v>
      </c>
      <c r="O116" t="s">
        <v>409</v>
      </c>
      <c r="P116" t="s">
        <v>413</v>
      </c>
      <c r="Q116" t="s">
        <v>16</v>
      </c>
      <c r="R116" t="s">
        <v>16</v>
      </c>
      <c r="S116" t="s">
        <v>16</v>
      </c>
      <c r="T116" t="s">
        <v>16</v>
      </c>
    </row>
    <row r="117" spans="9:20" ht="72.599999999999994">
      <c r="I117" s="3" t="s">
        <v>591</v>
      </c>
      <c r="J117" s="3" t="s">
        <v>592</v>
      </c>
      <c r="K117" t="s">
        <v>541</v>
      </c>
      <c r="L117" t="s">
        <v>22</v>
      </c>
      <c r="M117" t="s">
        <v>437</v>
      </c>
      <c r="N117" s="3" t="s">
        <v>23</v>
      </c>
      <c r="O117" t="s">
        <v>409</v>
      </c>
      <c r="P117" t="s">
        <v>413</v>
      </c>
      <c r="Q117" t="s">
        <v>16</v>
      </c>
      <c r="R117" t="s">
        <v>16</v>
      </c>
      <c r="S117" t="s">
        <v>16</v>
      </c>
      <c r="T117" t="s">
        <v>16</v>
      </c>
    </row>
    <row r="118" spans="9:20" ht="116.1">
      <c r="I118" s="3" t="s">
        <v>593</v>
      </c>
      <c r="J118" s="3" t="s">
        <v>594</v>
      </c>
      <c r="K118" t="s">
        <v>541</v>
      </c>
      <c r="L118" t="s">
        <v>22</v>
      </c>
      <c r="M118" t="s">
        <v>437</v>
      </c>
      <c r="N118" s="3" t="s">
        <v>23</v>
      </c>
      <c r="O118" t="s">
        <v>409</v>
      </c>
      <c r="P118" t="s">
        <v>413</v>
      </c>
      <c r="Q118" t="s">
        <v>16</v>
      </c>
      <c r="R118" t="s">
        <v>16</v>
      </c>
      <c r="S118" t="s">
        <v>16</v>
      </c>
      <c r="T118" t="s">
        <v>16</v>
      </c>
    </row>
    <row r="119" spans="9:20" ht="72.599999999999994">
      <c r="I119" s="3" t="s">
        <v>595</v>
      </c>
      <c r="J119" s="3" t="s">
        <v>596</v>
      </c>
      <c r="K119" t="s">
        <v>436</v>
      </c>
      <c r="L119" t="s">
        <v>102</v>
      </c>
      <c r="M119" t="s">
        <v>437</v>
      </c>
      <c r="N119" s="3" t="s">
        <v>271</v>
      </c>
      <c r="O119" t="s">
        <v>409</v>
      </c>
      <c r="P119" t="s">
        <v>413</v>
      </c>
    </row>
    <row r="120" spans="9:20" ht="57.95">
      <c r="I120" s="3" t="s">
        <v>597</v>
      </c>
      <c r="J120" s="3" t="s">
        <v>598</v>
      </c>
      <c r="K120" t="s">
        <v>436</v>
      </c>
      <c r="L120" t="s">
        <v>102</v>
      </c>
      <c r="M120" t="s">
        <v>437</v>
      </c>
      <c r="N120" s="3" t="s">
        <v>271</v>
      </c>
      <c r="O120" t="s">
        <v>409</v>
      </c>
      <c r="P120" t="s">
        <v>413</v>
      </c>
    </row>
    <row r="121" spans="9:20" ht="57.95">
      <c r="I121" s="3" t="s">
        <v>599</v>
      </c>
      <c r="J121" s="3" t="s">
        <v>540</v>
      </c>
      <c r="K121" t="s">
        <v>541</v>
      </c>
      <c r="L121" t="s">
        <v>22</v>
      </c>
      <c r="M121" t="s">
        <v>437</v>
      </c>
      <c r="N121" s="3" t="s">
        <v>23</v>
      </c>
      <c r="O121" t="s">
        <v>409</v>
      </c>
      <c r="P121" t="s">
        <v>413</v>
      </c>
    </row>
    <row r="122" spans="9:20" ht="57.95">
      <c r="I122" s="3" t="s">
        <v>600</v>
      </c>
      <c r="J122" s="3" t="s">
        <v>601</v>
      </c>
      <c r="K122" t="s">
        <v>436</v>
      </c>
      <c r="L122" t="s">
        <v>102</v>
      </c>
      <c r="M122" t="s">
        <v>437</v>
      </c>
      <c r="N122" s="3" t="s">
        <v>271</v>
      </c>
      <c r="O122" t="s">
        <v>409</v>
      </c>
      <c r="P122" t="s">
        <v>413</v>
      </c>
    </row>
    <row r="123" spans="9:20" ht="57.95">
      <c r="I123" s="3" t="s">
        <v>602</v>
      </c>
      <c r="J123" s="3" t="s">
        <v>603</v>
      </c>
      <c r="K123" t="s">
        <v>436</v>
      </c>
      <c r="L123" t="s">
        <v>102</v>
      </c>
      <c r="M123" t="s">
        <v>437</v>
      </c>
      <c r="N123" s="3" t="s">
        <v>271</v>
      </c>
      <c r="O123" t="s">
        <v>409</v>
      </c>
      <c r="P123" t="s">
        <v>413</v>
      </c>
    </row>
    <row r="170" spans="2:3">
      <c r="B170" s="19" t="s">
        <v>44</v>
      </c>
      <c r="C170" s="20" t="s">
        <v>604</v>
      </c>
    </row>
    <row r="171" spans="2:3" ht="72.599999999999994">
      <c r="B171" t="s">
        <v>605</v>
      </c>
      <c r="C171" s="3" t="s">
        <v>606</v>
      </c>
    </row>
    <row r="172" spans="2:3" ht="57.95">
      <c r="B172" t="s">
        <v>607</v>
      </c>
      <c r="C172" s="3" t="s">
        <v>608</v>
      </c>
    </row>
    <row r="173" spans="2:3" ht="57.95">
      <c r="B173" t="s">
        <v>609</v>
      </c>
      <c r="C173" s="3" t="s">
        <v>610</v>
      </c>
    </row>
    <row r="174" spans="2:3" ht="57.95">
      <c r="B174" t="s">
        <v>611</v>
      </c>
      <c r="C174" s="3" t="s">
        <v>612</v>
      </c>
    </row>
    <row r="175" spans="2:3" ht="57.95">
      <c r="B175" t="s">
        <v>613</v>
      </c>
      <c r="C175" s="3" t="s">
        <v>614</v>
      </c>
    </row>
    <row r="176" spans="2:3" ht="43.5">
      <c r="B176" t="s">
        <v>615</v>
      </c>
      <c r="C176" s="3" t="s">
        <v>616</v>
      </c>
    </row>
    <row r="177" spans="2:3" ht="43.5">
      <c r="B177" t="s">
        <v>617</v>
      </c>
      <c r="C177" s="3" t="s">
        <v>618</v>
      </c>
    </row>
    <row r="178" spans="2:3" ht="43.5">
      <c r="B178" t="s">
        <v>619</v>
      </c>
      <c r="C178" s="3" t="s">
        <v>620</v>
      </c>
    </row>
    <row r="179" spans="2:3" ht="57.95">
      <c r="B179" t="s">
        <v>621</v>
      </c>
      <c r="C179" s="3" t="s">
        <v>622</v>
      </c>
    </row>
    <row r="180" spans="2:3" ht="43.5">
      <c r="B180" t="s">
        <v>623</v>
      </c>
      <c r="C180" s="3" t="s">
        <v>624</v>
      </c>
    </row>
    <row r="181" spans="2:3" ht="43.5">
      <c r="B181" t="s">
        <v>299</v>
      </c>
      <c r="C181" s="3" t="s">
        <v>625</v>
      </c>
    </row>
    <row r="182" spans="2:3" ht="43.5">
      <c r="B182" t="s">
        <v>328</v>
      </c>
      <c r="C182" s="3" t="s">
        <v>626</v>
      </c>
    </row>
    <row r="183" spans="2:3" ht="43.5">
      <c r="B183" t="s">
        <v>115</v>
      </c>
      <c r="C183" s="3" t="s">
        <v>627</v>
      </c>
    </row>
    <row r="184" spans="2:3" ht="43.5">
      <c r="B184" t="s">
        <v>530</v>
      </c>
      <c r="C184" s="3" t="s">
        <v>628</v>
      </c>
    </row>
    <row r="185" spans="2:3" ht="43.5">
      <c r="B185" t="s">
        <v>579</v>
      </c>
      <c r="C185" s="3" t="s">
        <v>629</v>
      </c>
    </row>
    <row r="186" spans="2:3" ht="43.5">
      <c r="B186" t="s">
        <v>630</v>
      </c>
      <c r="C186" s="3" t="s">
        <v>631</v>
      </c>
    </row>
    <row r="187" spans="2:3" ht="43.5">
      <c r="B187" t="s">
        <v>632</v>
      </c>
      <c r="C187" s="3" t="s">
        <v>633</v>
      </c>
    </row>
    <row r="190" spans="2:3">
      <c r="B190" s="20" t="s">
        <v>634</v>
      </c>
      <c r="C190" s="20" t="s">
        <v>635</v>
      </c>
    </row>
    <row r="191" spans="2:3" ht="57.95">
      <c r="B191" s="3" t="s">
        <v>378</v>
      </c>
      <c r="C191" s="3" t="s">
        <v>636</v>
      </c>
    </row>
    <row r="192" spans="2:3" ht="57.95">
      <c r="B192" s="3" t="s">
        <v>380</v>
      </c>
      <c r="C192" s="3" t="s">
        <v>637</v>
      </c>
    </row>
    <row r="193" spans="2:3" ht="57.95">
      <c r="B193" s="3" t="s">
        <v>638</v>
      </c>
      <c r="C193" s="3" t="s">
        <v>639</v>
      </c>
    </row>
    <row r="194" spans="2:3" ht="57.95">
      <c r="B194" s="3" t="s">
        <v>384</v>
      </c>
      <c r="C194" s="3" t="s">
        <v>640</v>
      </c>
    </row>
    <row r="195" spans="2:3" ht="57.95">
      <c r="B195" s="3" t="s">
        <v>386</v>
      </c>
      <c r="C195" s="3" t="s">
        <v>641</v>
      </c>
    </row>
    <row r="196" spans="2:3" ht="57.95">
      <c r="B196" s="3" t="s">
        <v>388</v>
      </c>
      <c r="C196" s="3" t="s">
        <v>642</v>
      </c>
    </row>
    <row r="198" spans="2:3">
      <c r="B198" s="20" t="s">
        <v>634</v>
      </c>
      <c r="C198" s="20" t="s">
        <v>635</v>
      </c>
    </row>
    <row r="199" spans="2:3" ht="43.5">
      <c r="B199" s="3" t="s">
        <v>643</v>
      </c>
      <c r="C199" s="3" t="s">
        <v>644</v>
      </c>
    </row>
    <row r="200" spans="2:3" ht="43.5">
      <c r="B200" s="3" t="s">
        <v>645</v>
      </c>
      <c r="C200" s="3" t="s">
        <v>646</v>
      </c>
    </row>
    <row r="201" spans="2:3" ht="57.95">
      <c r="B201" s="3" t="s">
        <v>647</v>
      </c>
      <c r="C201" s="3" t="s">
        <v>648</v>
      </c>
    </row>
    <row r="202" spans="2:3" ht="43.5">
      <c r="B202" s="3" t="s">
        <v>649</v>
      </c>
      <c r="C202" s="3" t="s">
        <v>650</v>
      </c>
    </row>
    <row r="203" spans="2:3" ht="43.5">
      <c r="B203" s="3" t="s">
        <v>651</v>
      </c>
      <c r="C203" s="3" t="s">
        <v>652</v>
      </c>
    </row>
    <row r="204" spans="2:3" ht="43.5">
      <c r="B204" s="3" t="s">
        <v>653</v>
      </c>
      <c r="C204" s="3" t="s">
        <v>654</v>
      </c>
    </row>
    <row r="205" spans="2:3" ht="43.5">
      <c r="B205" s="3" t="s">
        <v>655</v>
      </c>
      <c r="C205" s="3" t="s">
        <v>656</v>
      </c>
    </row>
    <row r="206" spans="2:3" ht="57.95">
      <c r="B206" s="3" t="s">
        <v>657</v>
      </c>
      <c r="C206" s="3" t="s">
        <v>658</v>
      </c>
    </row>
    <row r="208" spans="2:3">
      <c r="B208" s="3" t="s">
        <v>44</v>
      </c>
      <c r="C208" s="3" t="s">
        <v>429</v>
      </c>
    </row>
    <row r="209" spans="2:3" ht="43.5">
      <c r="B209" s="3" t="s">
        <v>115</v>
      </c>
      <c r="C209" s="3" t="s">
        <v>659</v>
      </c>
    </row>
    <row r="210" spans="2:3" ht="43.5">
      <c r="B210" s="3" t="s">
        <v>660</v>
      </c>
      <c r="C210" s="3" t="s">
        <v>661</v>
      </c>
    </row>
    <row r="211" spans="2:3" ht="43.5">
      <c r="B211" s="3" t="s">
        <v>662</v>
      </c>
      <c r="C211" s="3" t="s">
        <v>663</v>
      </c>
    </row>
    <row r="212" spans="2:3" ht="43.5">
      <c r="B212" s="3" t="s">
        <v>664</v>
      </c>
      <c r="C212" s="3" t="s">
        <v>665</v>
      </c>
    </row>
    <row r="213" spans="2:3" ht="43.5">
      <c r="B213" s="3" t="s">
        <v>666</v>
      </c>
      <c r="C213" s="3" t="s">
        <v>667</v>
      </c>
    </row>
    <row r="214" spans="2:3" ht="43.5">
      <c r="B214" s="3" t="s">
        <v>668</v>
      </c>
      <c r="C214" s="3" t="s">
        <v>669</v>
      </c>
    </row>
    <row r="215" spans="2:3" ht="43.5">
      <c r="B215" s="3" t="s">
        <v>670</v>
      </c>
      <c r="C215" s="3" t="s">
        <v>671</v>
      </c>
    </row>
    <row r="216" spans="2:3" ht="43.5">
      <c r="B216" s="3" t="s">
        <v>672</v>
      </c>
      <c r="C216" s="3" t="s">
        <v>673</v>
      </c>
    </row>
    <row r="217" spans="2:3" ht="43.5">
      <c r="B217" s="3" t="s">
        <v>674</v>
      </c>
      <c r="C217" s="3" t="s">
        <v>675</v>
      </c>
    </row>
    <row r="218" spans="2:3" ht="43.5">
      <c r="B218" s="3" t="s">
        <v>676</v>
      </c>
      <c r="C218" s="3" t="s">
        <v>677</v>
      </c>
    </row>
    <row r="219" spans="2:3" ht="43.5">
      <c r="B219" s="3" t="s">
        <v>678</v>
      </c>
      <c r="C219" s="3" t="s">
        <v>679</v>
      </c>
    </row>
    <row r="220" spans="2:3" ht="43.5">
      <c r="B220" s="3" t="s">
        <v>286</v>
      </c>
      <c r="C220" s="3" t="s">
        <v>680</v>
      </c>
    </row>
    <row r="221" spans="2:3" ht="43.5">
      <c r="B221" s="3" t="s">
        <v>681</v>
      </c>
      <c r="C221" s="3" t="s">
        <v>682</v>
      </c>
    </row>
    <row r="222" spans="2:3" ht="43.5">
      <c r="B222" s="3" t="s">
        <v>683</v>
      </c>
      <c r="C222" s="3" t="s">
        <v>684</v>
      </c>
    </row>
    <row r="223" spans="2:3" ht="43.5">
      <c r="B223" s="3" t="s">
        <v>685</v>
      </c>
      <c r="C223" s="3" t="s">
        <v>686</v>
      </c>
    </row>
    <row r="224" spans="2:3" ht="43.5">
      <c r="B224" s="3" t="s">
        <v>687</v>
      </c>
      <c r="C224" s="3" t="s">
        <v>688</v>
      </c>
    </row>
    <row r="225" spans="2:3" ht="43.5">
      <c r="B225" s="3" t="s">
        <v>689</v>
      </c>
      <c r="C225" s="3" t="s">
        <v>690</v>
      </c>
    </row>
    <row r="226" spans="2:3" ht="43.5">
      <c r="B226" s="3" t="s">
        <v>691</v>
      </c>
      <c r="C226" s="3" t="s">
        <v>692</v>
      </c>
    </row>
    <row r="227" spans="2:3" ht="43.5">
      <c r="B227" s="3" t="s">
        <v>693</v>
      </c>
      <c r="C227" s="3" t="s">
        <v>694</v>
      </c>
    </row>
    <row r="228" spans="2:3" ht="43.5">
      <c r="B228" s="3" t="s">
        <v>695</v>
      </c>
      <c r="C228" s="3" t="s">
        <v>696</v>
      </c>
    </row>
    <row r="231" spans="2:3">
      <c r="B231" s="3" t="s">
        <v>44</v>
      </c>
      <c r="C231" s="3" t="s">
        <v>429</v>
      </c>
    </row>
    <row r="232" spans="2:3" ht="43.5">
      <c r="B232" s="3" t="s">
        <v>697</v>
      </c>
      <c r="C232" s="3" t="s">
        <v>698</v>
      </c>
    </row>
    <row r="233" spans="2:3" ht="43.5">
      <c r="B233" s="3" t="s">
        <v>699</v>
      </c>
      <c r="C233" s="3" t="s">
        <v>700</v>
      </c>
    </row>
    <row r="234" spans="2:3" ht="43.5">
      <c r="B234" s="3" t="s">
        <v>560</v>
      </c>
      <c r="C234" s="3" t="s">
        <v>701</v>
      </c>
    </row>
    <row r="235" spans="2:3" ht="43.5">
      <c r="B235" s="3" t="s">
        <v>702</v>
      </c>
      <c r="C235" s="3" t="s">
        <v>703</v>
      </c>
    </row>
    <row r="236" spans="2:3" ht="43.5">
      <c r="B236" s="3" t="s">
        <v>704</v>
      </c>
      <c r="C236" s="3" t="s">
        <v>705</v>
      </c>
    </row>
    <row r="237" spans="2:3" ht="43.5">
      <c r="B237" s="3" t="s">
        <v>706</v>
      </c>
      <c r="C237" s="3" t="s">
        <v>707</v>
      </c>
    </row>
    <row r="238" spans="2:3" ht="43.5">
      <c r="B238" s="3" t="s">
        <v>708</v>
      </c>
      <c r="C238" s="3" t="s">
        <v>709</v>
      </c>
    </row>
    <row r="239" spans="2:3" ht="43.5">
      <c r="B239" s="3" t="s">
        <v>710</v>
      </c>
      <c r="C239" s="3" t="s">
        <v>711</v>
      </c>
    </row>
    <row r="241" spans="2:3">
      <c r="B241" s="19" t="s">
        <v>44</v>
      </c>
      <c r="C241" s="20" t="s">
        <v>429</v>
      </c>
    </row>
    <row r="242" spans="2:3" ht="43.5">
      <c r="B242" s="19" t="s">
        <v>434</v>
      </c>
      <c r="C242" s="3" t="s">
        <v>712</v>
      </c>
    </row>
    <row r="243" spans="2:3" ht="43.5">
      <c r="B243" s="19" t="s">
        <v>438</v>
      </c>
      <c r="C243" s="3" t="s">
        <v>713</v>
      </c>
    </row>
    <row r="244" spans="2:3" ht="43.5">
      <c r="B244" s="19" t="s">
        <v>440</v>
      </c>
      <c r="C244" s="3" t="s">
        <v>714</v>
      </c>
    </row>
    <row r="245" spans="2:3" ht="43.5">
      <c r="B245" s="19" t="s">
        <v>442</v>
      </c>
      <c r="C245" s="3" t="s">
        <v>715</v>
      </c>
    </row>
    <row r="246" spans="2:3" ht="43.5">
      <c r="B246" s="19" t="s">
        <v>444</v>
      </c>
      <c r="C246" s="3" t="s">
        <v>716</v>
      </c>
    </row>
    <row r="247" spans="2:3" ht="43.5">
      <c r="B247" s="19" t="s">
        <v>717</v>
      </c>
      <c r="C247" s="3" t="s">
        <v>718</v>
      </c>
    </row>
    <row r="248" spans="2:3">
      <c r="B248" s="3"/>
    </row>
    <row r="249" spans="2:3">
      <c r="B249" s="20" t="s">
        <v>44</v>
      </c>
      <c r="C249" s="20" t="s">
        <v>429</v>
      </c>
    </row>
    <row r="250" spans="2:3" ht="43.5">
      <c r="B250" s="20" t="s">
        <v>719</v>
      </c>
      <c r="C250" s="3" t="s">
        <v>720</v>
      </c>
    </row>
    <row r="251" spans="2:3" ht="43.5">
      <c r="B251" s="20" t="s">
        <v>539</v>
      </c>
      <c r="C251" s="3" t="s">
        <v>721</v>
      </c>
    </row>
    <row r="252" spans="2:3" ht="43.5">
      <c r="B252" s="20" t="s">
        <v>548</v>
      </c>
      <c r="C252" s="3" t="s">
        <v>722</v>
      </c>
    </row>
    <row r="253" spans="2:3" ht="43.5">
      <c r="B253" s="20" t="s">
        <v>723</v>
      </c>
      <c r="C253" s="3" t="s">
        <v>724</v>
      </c>
    </row>
    <row r="254" spans="2:3" ht="43.5">
      <c r="B254" s="20" t="s">
        <v>562</v>
      </c>
      <c r="C254" s="3" t="s">
        <v>725</v>
      </c>
    </row>
    <row r="255" spans="2:3" ht="29.1">
      <c r="B255" s="20" t="s">
        <v>566</v>
      </c>
      <c r="C255" s="3" t="s">
        <v>726</v>
      </c>
    </row>
    <row r="256" spans="2:3" ht="43.5">
      <c r="B256" s="20" t="s">
        <v>727</v>
      </c>
      <c r="C256" s="3" t="s">
        <v>728</v>
      </c>
    </row>
    <row r="257" spans="2:3" ht="43.5">
      <c r="B257" s="20" t="s">
        <v>570</v>
      </c>
      <c r="C257" s="3" t="s">
        <v>729</v>
      </c>
    </row>
    <row r="258" spans="2:3" ht="43.5">
      <c r="B258" s="20" t="s">
        <v>572</v>
      </c>
      <c r="C258" s="3" t="s">
        <v>730</v>
      </c>
    </row>
    <row r="259" spans="2:3" ht="57.95">
      <c r="B259" s="20" t="s">
        <v>573</v>
      </c>
      <c r="C259" s="3" t="s">
        <v>731</v>
      </c>
    </row>
    <row r="260" spans="2:3" ht="43.5">
      <c r="B260" s="20" t="s">
        <v>577</v>
      </c>
      <c r="C260" s="3" t="s">
        <v>732</v>
      </c>
    </row>
    <row r="261" spans="2:3" ht="43.5">
      <c r="B261" s="20" t="s">
        <v>581</v>
      </c>
      <c r="C261" s="3" t="s">
        <v>733</v>
      </c>
    </row>
    <row r="262" spans="2:3" ht="43.5">
      <c r="B262" s="20" t="s">
        <v>583</v>
      </c>
      <c r="C262" s="3" t="s">
        <v>734</v>
      </c>
    </row>
    <row r="263" spans="2:3" ht="43.5">
      <c r="B263" s="20" t="s">
        <v>585</v>
      </c>
      <c r="C263" s="3" t="s">
        <v>735</v>
      </c>
    </row>
    <row r="264" spans="2:3" ht="43.5">
      <c r="B264" s="20" t="s">
        <v>595</v>
      </c>
      <c r="C264" s="3" t="s">
        <v>736</v>
      </c>
    </row>
    <row r="265" spans="2:3" ht="43.5">
      <c r="B265" s="20" t="s">
        <v>597</v>
      </c>
      <c r="C265" s="3" t="s">
        <v>737</v>
      </c>
    </row>
    <row r="266" spans="2:3" ht="43.5">
      <c r="B266" s="20" t="s">
        <v>602</v>
      </c>
      <c r="C266" s="3" t="s">
        <v>738</v>
      </c>
    </row>
    <row r="270" spans="2:3">
      <c r="B270" s="20" t="s">
        <v>44</v>
      </c>
      <c r="C270" s="20" t="s">
        <v>429</v>
      </c>
    </row>
    <row r="271" spans="2:3" ht="43.5">
      <c r="B271" s="20" t="s">
        <v>719</v>
      </c>
      <c r="C271" s="3" t="s">
        <v>739</v>
      </c>
    </row>
    <row r="272" spans="2:3" ht="57.95">
      <c r="B272" s="20" t="s">
        <v>539</v>
      </c>
      <c r="C272" s="3" t="s">
        <v>740</v>
      </c>
    </row>
    <row r="273" spans="2:3" ht="43.5">
      <c r="B273" s="20" t="s">
        <v>548</v>
      </c>
      <c r="C273" s="3" t="s">
        <v>741</v>
      </c>
    </row>
    <row r="274" spans="2:3" ht="43.5">
      <c r="B274" s="20" t="s">
        <v>723</v>
      </c>
      <c r="C274" s="3" t="s">
        <v>742</v>
      </c>
    </row>
    <row r="275" spans="2:3" ht="43.5">
      <c r="B275" s="20" t="s">
        <v>562</v>
      </c>
      <c r="C275" s="3" t="s">
        <v>743</v>
      </c>
    </row>
    <row r="276" spans="2:3" ht="43.5">
      <c r="B276" s="20" t="s">
        <v>566</v>
      </c>
      <c r="C276" s="3" t="s">
        <v>744</v>
      </c>
    </row>
    <row r="277" spans="2:3" ht="43.5">
      <c r="B277" s="20" t="s">
        <v>727</v>
      </c>
      <c r="C277" s="3" t="s">
        <v>745</v>
      </c>
    </row>
    <row r="278" spans="2:3" ht="43.5">
      <c r="B278" s="20" t="s">
        <v>570</v>
      </c>
      <c r="C278" s="3" t="s">
        <v>746</v>
      </c>
    </row>
    <row r="279" spans="2:3" ht="43.5">
      <c r="B279" s="20" t="s">
        <v>572</v>
      </c>
      <c r="C279" s="3" t="s">
        <v>747</v>
      </c>
    </row>
    <row r="280" spans="2:3" ht="57.95">
      <c r="B280" s="20" t="s">
        <v>573</v>
      </c>
      <c r="C280" s="3" t="s">
        <v>748</v>
      </c>
    </row>
    <row r="281" spans="2:3" ht="43.5">
      <c r="B281" s="20" t="s">
        <v>577</v>
      </c>
      <c r="C281" s="3" t="s">
        <v>749</v>
      </c>
    </row>
    <row r="282" spans="2:3" ht="43.5">
      <c r="B282" s="20" t="s">
        <v>581</v>
      </c>
      <c r="C282" s="3" t="s">
        <v>750</v>
      </c>
    </row>
    <row r="283" spans="2:3" ht="57.95">
      <c r="B283" s="20" t="s">
        <v>583</v>
      </c>
      <c r="C283" s="3" t="s">
        <v>751</v>
      </c>
    </row>
    <row r="284" spans="2:3" ht="43.5">
      <c r="B284" s="20" t="s">
        <v>585</v>
      </c>
      <c r="C284" s="3" t="s">
        <v>752</v>
      </c>
    </row>
    <row r="285" spans="2:3" ht="43.5">
      <c r="B285" s="20" t="s">
        <v>595</v>
      </c>
      <c r="C285" s="3" t="s">
        <v>753</v>
      </c>
    </row>
    <row r="286" spans="2:3" ht="43.5">
      <c r="B286" s="20" t="s">
        <v>597</v>
      </c>
      <c r="C286" s="3" t="s">
        <v>754</v>
      </c>
    </row>
    <row r="287" spans="2:3" ht="43.5">
      <c r="B287" s="20" t="s">
        <v>602</v>
      </c>
      <c r="C287" s="3" t="s">
        <v>755</v>
      </c>
    </row>
    <row r="290" spans="2:3">
      <c r="B290" s="19" t="s">
        <v>44</v>
      </c>
      <c r="C290" s="20" t="s">
        <v>429</v>
      </c>
    </row>
    <row r="291" spans="2:3" ht="57.95">
      <c r="B291" s="19" t="s">
        <v>756</v>
      </c>
      <c r="C291" s="3" t="s">
        <v>757</v>
      </c>
    </row>
    <row r="292" spans="2:3" ht="43.5">
      <c r="B292" s="19" t="s">
        <v>758</v>
      </c>
      <c r="C292" s="3" t="s">
        <v>759</v>
      </c>
    </row>
    <row r="293" spans="2:3" ht="43.5">
      <c r="B293" s="19" t="s">
        <v>760</v>
      </c>
      <c r="C293" s="3" t="s">
        <v>761</v>
      </c>
    </row>
    <row r="294" spans="2:3" ht="43.5">
      <c r="B294" s="19" t="s">
        <v>762</v>
      </c>
      <c r="C294" s="3" t="s">
        <v>763</v>
      </c>
    </row>
    <row r="297" spans="2:3">
      <c r="B297" s="20" t="s">
        <v>44</v>
      </c>
      <c r="C297" s="20" t="s">
        <v>429</v>
      </c>
    </row>
    <row r="298" spans="2:3" ht="43.5">
      <c r="B298" s="20" t="s">
        <v>764</v>
      </c>
      <c r="C298" s="3" t="s">
        <v>765</v>
      </c>
    </row>
    <row r="299" spans="2:3" ht="43.5">
      <c r="B299" s="20" t="s">
        <v>766</v>
      </c>
      <c r="C299" s="3" t="s">
        <v>767</v>
      </c>
    </row>
    <row r="300" spans="2:3" ht="43.5">
      <c r="B300" s="20" t="s">
        <v>768</v>
      </c>
      <c r="C300" s="3" t="s">
        <v>769</v>
      </c>
    </row>
    <row r="301" spans="2:3" ht="43.5">
      <c r="B301" s="20" t="s">
        <v>770</v>
      </c>
      <c r="C301" s="3" t="s">
        <v>771</v>
      </c>
    </row>
    <row r="302" spans="2:3" ht="43.5">
      <c r="B302" s="20" t="s">
        <v>772</v>
      </c>
      <c r="C302" s="3" t="s">
        <v>773</v>
      </c>
    </row>
    <row r="303" spans="2:3" ht="43.5">
      <c r="B303" s="20" t="s">
        <v>774</v>
      </c>
      <c r="C303" s="3" t="s">
        <v>775</v>
      </c>
    </row>
    <row r="304" spans="2:3" ht="43.5">
      <c r="B304" s="20" t="s">
        <v>776</v>
      </c>
      <c r="C304" s="3" t="s">
        <v>777</v>
      </c>
    </row>
    <row r="305" spans="2:3" ht="43.5">
      <c r="B305" s="20" t="s">
        <v>778</v>
      </c>
      <c r="C305" s="3" t="s">
        <v>779</v>
      </c>
    </row>
    <row r="306" spans="2:3" ht="43.5">
      <c r="B306" s="20" t="s">
        <v>780</v>
      </c>
      <c r="C306" s="3" t="s">
        <v>781</v>
      </c>
    </row>
    <row r="307" spans="2:3" ht="43.5">
      <c r="B307" s="20" t="s">
        <v>782</v>
      </c>
      <c r="C307" s="3" t="s">
        <v>783</v>
      </c>
    </row>
    <row r="308" spans="2:3" ht="43.5">
      <c r="B308" s="20" t="s">
        <v>784</v>
      </c>
      <c r="C308" s="3" t="s">
        <v>785</v>
      </c>
    </row>
    <row r="309" spans="2:3" ht="43.5">
      <c r="B309" s="20" t="s">
        <v>786</v>
      </c>
      <c r="C309" s="3" t="s">
        <v>787</v>
      </c>
    </row>
    <row r="310" spans="2:3" ht="43.5">
      <c r="B310" s="20" t="s">
        <v>788</v>
      </c>
      <c r="C310" s="3" t="s">
        <v>789</v>
      </c>
    </row>
    <row r="312" spans="2:3">
      <c r="B312" s="19" t="s">
        <v>44</v>
      </c>
      <c r="C312" s="20" t="s">
        <v>429</v>
      </c>
    </row>
    <row r="313" spans="2:3" ht="29.1">
      <c r="B313" s="19" t="s">
        <v>494</v>
      </c>
      <c r="C313" s="3" t="s">
        <v>790</v>
      </c>
    </row>
    <row r="314" spans="2:3" ht="29.1">
      <c r="B314" s="19" t="s">
        <v>498</v>
      </c>
      <c r="C314" s="3" t="s">
        <v>791</v>
      </c>
    </row>
    <row r="315" spans="2:3" ht="43.5">
      <c r="B315" s="19" t="s">
        <v>502</v>
      </c>
      <c r="C315" s="3" t="s">
        <v>792</v>
      </c>
    </row>
    <row r="316" spans="2:3" ht="43.5">
      <c r="B316" s="19" t="s">
        <v>506</v>
      </c>
      <c r="C316" s="3" t="s">
        <v>793</v>
      </c>
    </row>
    <row r="317" spans="2:3" ht="43.5">
      <c r="B317" s="19" t="s">
        <v>794</v>
      </c>
      <c r="C317" s="3" t="s">
        <v>795</v>
      </c>
    </row>
    <row r="318" spans="2:3" ht="43.5">
      <c r="B318" s="19" t="s">
        <v>796</v>
      </c>
      <c r="C318" s="3" t="s">
        <v>797</v>
      </c>
    </row>
    <row r="319" spans="2:3" ht="43.5">
      <c r="B319" s="19" t="s">
        <v>518</v>
      </c>
      <c r="C319" s="3" t="s">
        <v>798</v>
      </c>
    </row>
    <row r="320" spans="2:3" ht="43.5">
      <c r="B320" s="19" t="s">
        <v>522</v>
      </c>
      <c r="C320" s="3" t="s">
        <v>799</v>
      </c>
    </row>
    <row r="322" spans="2:3">
      <c r="B322" s="20" t="s">
        <v>44</v>
      </c>
      <c r="C322" s="20" t="s">
        <v>429</v>
      </c>
    </row>
    <row r="323" spans="2:3" ht="43.5">
      <c r="B323" s="20" t="s">
        <v>800</v>
      </c>
      <c r="C323" s="3" t="s">
        <v>801</v>
      </c>
    </row>
    <row r="324" spans="2:3" ht="43.5">
      <c r="B324" s="20" t="s">
        <v>802</v>
      </c>
      <c r="C324" s="3" t="s">
        <v>803</v>
      </c>
    </row>
    <row r="325" spans="2:3" ht="43.5">
      <c r="B325" s="20" t="s">
        <v>804</v>
      </c>
      <c r="C325" s="3" t="s">
        <v>805</v>
      </c>
    </row>
    <row r="326" spans="2:3" ht="43.5">
      <c r="B326" s="20" t="s">
        <v>72</v>
      </c>
      <c r="C326" s="3" t="s">
        <v>806</v>
      </c>
    </row>
    <row r="327" spans="2:3" ht="43.5">
      <c r="B327" s="20" t="s">
        <v>807</v>
      </c>
      <c r="C327" s="3" t="s">
        <v>808</v>
      </c>
    </row>
    <row r="328" spans="2:3" ht="43.5">
      <c r="B328" s="20" t="s">
        <v>809</v>
      </c>
      <c r="C328" s="3" t="s">
        <v>810</v>
      </c>
    </row>
    <row r="329" spans="2:3" ht="43.5">
      <c r="B329" s="20" t="s">
        <v>811</v>
      </c>
      <c r="C329" s="3" t="s">
        <v>812</v>
      </c>
    </row>
    <row r="330" spans="2:3" ht="43.5">
      <c r="B330" s="20" t="s">
        <v>813</v>
      </c>
      <c r="C330" s="3" t="s">
        <v>814</v>
      </c>
    </row>
    <row r="331" spans="2:3" ht="43.5">
      <c r="B331" s="20" t="s">
        <v>815</v>
      </c>
      <c r="C331" s="3" t="s">
        <v>816</v>
      </c>
    </row>
    <row r="332" spans="2:3" ht="43.5">
      <c r="B332" s="20" t="s">
        <v>817</v>
      </c>
      <c r="C332" s="3" t="s">
        <v>818</v>
      </c>
    </row>
    <row r="333" spans="2:3" ht="43.5">
      <c r="B333" s="20" t="s">
        <v>819</v>
      </c>
      <c r="C333" s="3" t="s">
        <v>820</v>
      </c>
    </row>
    <row r="335" spans="2:3">
      <c r="B335" s="20" t="s">
        <v>44</v>
      </c>
      <c r="C335" s="20" t="s">
        <v>429</v>
      </c>
    </row>
    <row r="336" spans="2:3" ht="43.5">
      <c r="B336" s="20" t="s">
        <v>403</v>
      </c>
      <c r="C336" s="3" t="s">
        <v>821</v>
      </c>
    </row>
    <row r="337" spans="2:3" ht="43.5">
      <c r="B337" s="20" t="s">
        <v>406</v>
      </c>
      <c r="C337" s="3" t="s">
        <v>822</v>
      </c>
    </row>
    <row r="338" spans="2:3" ht="43.5">
      <c r="B338" s="20" t="s">
        <v>411</v>
      </c>
      <c r="C338" s="3" t="s">
        <v>823</v>
      </c>
    </row>
    <row r="339" spans="2:3" ht="43.5">
      <c r="B339" s="20" t="s">
        <v>414</v>
      </c>
      <c r="C339" s="3" t="s">
        <v>824</v>
      </c>
    </row>
    <row r="340" spans="2:3" ht="43.5">
      <c r="B340" s="20" t="s">
        <v>825</v>
      </c>
      <c r="C340" s="3" t="s">
        <v>826</v>
      </c>
    </row>
    <row r="341" spans="2:3" ht="43.5">
      <c r="B341" s="20" t="s">
        <v>420</v>
      </c>
      <c r="C341" s="3" t="s">
        <v>827</v>
      </c>
    </row>
    <row r="342" spans="2:3" ht="43.5">
      <c r="B342" s="20" t="s">
        <v>391</v>
      </c>
      <c r="C342" s="3" t="s">
        <v>828</v>
      </c>
    </row>
    <row r="343" spans="2:3" ht="43.5">
      <c r="B343" s="20" t="s">
        <v>393</v>
      </c>
      <c r="C343" s="3" t="s">
        <v>829</v>
      </c>
    </row>
    <row r="344" spans="2:3" ht="57.95">
      <c r="B344" s="20" t="s">
        <v>830</v>
      </c>
      <c r="C344" s="3" t="s">
        <v>831</v>
      </c>
    </row>
    <row r="346" spans="2:3">
      <c r="B346" s="20" t="s">
        <v>44</v>
      </c>
      <c r="C346" s="20" t="s">
        <v>429</v>
      </c>
    </row>
    <row r="347" spans="2:3" ht="57.95">
      <c r="B347" s="20" t="s">
        <v>832</v>
      </c>
      <c r="C347" s="3" t="s">
        <v>833</v>
      </c>
    </row>
    <row r="348" spans="2:3" ht="43.5">
      <c r="B348" s="20" t="s">
        <v>834</v>
      </c>
      <c r="C348" s="3" t="s">
        <v>835</v>
      </c>
    </row>
    <row r="349" spans="2:3" ht="57.95">
      <c r="B349" s="20" t="s">
        <v>836</v>
      </c>
      <c r="C349" s="3" t="s">
        <v>837</v>
      </c>
    </row>
    <row r="350" spans="2:3" ht="57.95">
      <c r="B350" s="20" t="s">
        <v>547</v>
      </c>
      <c r="C350" s="3" t="s">
        <v>838</v>
      </c>
    </row>
    <row r="351" spans="2:3" ht="43.5">
      <c r="B351" s="20" t="s">
        <v>551</v>
      </c>
      <c r="C351" s="3" t="s">
        <v>839</v>
      </c>
    </row>
    <row r="352" spans="2:3" ht="72.599999999999994">
      <c r="B352" s="20" t="s">
        <v>543</v>
      </c>
      <c r="C352" s="3" t="s">
        <v>840</v>
      </c>
    </row>
    <row r="353" spans="2:3" ht="57.95">
      <c r="B353" s="20" t="s">
        <v>841</v>
      </c>
      <c r="C353" s="3" t="s">
        <v>842</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ECA9C-9C49-4E4A-86EE-E3D68CAEB1CD}">
  <dimension ref="A1:AK9"/>
  <sheetViews>
    <sheetView workbookViewId="0"/>
  </sheetViews>
  <sheetFormatPr defaultRowHeight="14.45"/>
  <sheetData>
    <row r="1" spans="1:37" s="69" customFormat="1" ht="41.1" customHeight="1">
      <c r="A1" s="21" t="s">
        <v>843</v>
      </c>
      <c r="B1" s="53" t="s">
        <v>844</v>
      </c>
      <c r="C1" s="17" t="s">
        <v>845</v>
      </c>
      <c r="D1" s="17" t="s">
        <v>846</v>
      </c>
      <c r="E1" s="17" t="str" cm="1">
        <f t="array" ref="E1">IF($F1="Information Disclosure",Formatação!H$5,IF($F1="Repudiation",Formatação!H$4,IF($F1="Spoofing",Formatação!H$2,IF($F1="Tampering",Formatação!H$3, IF($F1="Denial of Service",Formatação!H$6,IF($F1="Elevation of Privilege",Formatação!H$7,IF($F1="Lateral Movement",Formatação!H$8,Errado)))))))</f>
        <v>Confidencialidade</v>
      </c>
      <c r="F1" s="17" t="s">
        <v>67</v>
      </c>
      <c r="G1" s="17" t="str" cm="1">
        <f t="array" ref="G1">IF($F1="Information Disclosure",Formatação!J$5,IF($F1="Repudiation",Formatação!J$4,IF($F1="Spoofing",Formatação!J$2,IF($F1="Tampering",Formatação!J$3, IF($F1="Denial of Service",Formatação!J$6,IF($F1="Elevation of Privilege",Formatação!J$7,IF($F1="Lateral Movement",Formatação!J$8,Errado)))))))</f>
        <v>Vazamento de dados</v>
      </c>
      <c r="H1" s="17" t="s">
        <v>29</v>
      </c>
      <c r="I1" s="17" t="s">
        <v>409</v>
      </c>
      <c r="J1" s="17" t="s">
        <v>410</v>
      </c>
      <c r="K1" s="17" t="s">
        <v>847</v>
      </c>
      <c r="L1" s="17" t="s">
        <v>847</v>
      </c>
      <c r="M1" s="17" t="s">
        <v>847</v>
      </c>
      <c r="N1" s="17" t="s">
        <v>847</v>
      </c>
      <c r="O1" s="17" t="s">
        <v>848</v>
      </c>
      <c r="P1" s="17" t="s">
        <v>849</v>
      </c>
      <c r="Q1" s="17" t="s">
        <v>848</v>
      </c>
      <c r="R1" s="17" t="s">
        <v>848</v>
      </c>
      <c r="S1" s="17" t="s">
        <v>848</v>
      </c>
      <c r="T1" s="17" t="s">
        <v>848</v>
      </c>
      <c r="U1" s="17" t="s">
        <v>848</v>
      </c>
      <c r="V1" s="17" t="s">
        <v>850</v>
      </c>
      <c r="W1" s="17">
        <f t="shared" ref="W1:W6" si="0">SUM(
  IF($O1 = "Impacto direto", 3, IF($O1 = "Impacto indireto", 2, 0)),
  IF($P1 = "Impacto direto", 3, IF($P1 = "Impacto indireto", 2, 0)),
  IF($Q1 = "Impacto direto", 3, IF($Q1 = "Impacto indireto", 2, 0)),
  IF($R1 = "Impacto direto", 3, IF($R1 = "Impacto indireto", 2, 0)),
  IF($S1 = "Impacto direto", 3, IF($S1 = "Impacto indireto", 2, 0)),
  IF($T1 = "Impacto direto", 3, IF($T1 = "Impacto indireto", 2, 0)),
  IF($U1 = "Impacto direto", 3, IF($U1 = "Impacto indireto", 2, 0)),
  IF($V1 = "Impacto direto", 3, IF($V1 = "Impacto indireto", 2, 0))
)</f>
        <v>22</v>
      </c>
      <c r="X1" s="17" t="str">
        <f t="shared" ref="X1:X6" si="1">IF($W1&lt;=5, "Leve", IF($W1&lt;=8, "Baixo", IF($W1&lt;=14, "Moderado", IF($W1&lt;=18, "Alto", IF($W1&lt;=24, "Crítico", "ERRO")))))</f>
        <v>Crítico</v>
      </c>
      <c r="Y1" s="17" t="s">
        <v>851</v>
      </c>
      <c r="Z1" s="17" t="s">
        <v>852</v>
      </c>
      <c r="AA1" s="17" t="s">
        <v>853</v>
      </c>
      <c r="AB1" s="17" t="s">
        <v>854</v>
      </c>
      <c r="AC1" s="60"/>
      <c r="AD1" s="60"/>
      <c r="AE1" s="60"/>
      <c r="AF1" s="71"/>
      <c r="AG1" s="70"/>
      <c r="AH1" s="71"/>
      <c r="AI1" s="71"/>
      <c r="AJ1" s="71"/>
      <c r="AK1" s="71"/>
    </row>
    <row r="2" spans="1:37" s="69" customFormat="1" ht="35.25" customHeight="1">
      <c r="A2" s="21" t="s">
        <v>855</v>
      </c>
      <c r="B2" s="53" t="s">
        <v>380</v>
      </c>
      <c r="C2" s="17" t="s">
        <v>637</v>
      </c>
      <c r="D2" s="17" t="s">
        <v>846</v>
      </c>
      <c r="E2" s="17" t="str" cm="1">
        <f t="array" ref="E2">IF($F2="Information Disclosure",Formatação!H$5,IF($F2="Repudiation",Formatação!H$4,IF($F2="Spoofing",Formatação!H$2,IF($F2="Tampering",Formatação!H$3, IF($F2="Denial of Service",Formatação!H$6,IF($F2="Elevation of Privilege",Formatação!H$7,IF($F2="Lateral Movement",Formatação!H$8,Errado)))))))</f>
        <v>Autenticação</v>
      </c>
      <c r="F2" s="17" t="s">
        <v>102</v>
      </c>
      <c r="G2" s="17" t="str" cm="1">
        <f t="array" ref="G2">IF($F2="Information Disclosure",Formatação!J$5,IF($F2="Repudiation",Formatação!J$4,IF($F2="Spoofing",Formatação!J$2,IF($F2="Tampering",Formatação!J$3, IF($F2="Denial of Service",Formatação!J$6,IF($F2="Elevation of Privilege",Formatação!J$7,IF($F2="Lateral Movement",Formatação!J$8,Errado)))))))</f>
        <v>Fraudes/Vazamento de dados</v>
      </c>
      <c r="H2" s="17" t="s">
        <v>23</v>
      </c>
      <c r="I2" s="17" t="s">
        <v>409</v>
      </c>
      <c r="J2" s="17" t="s">
        <v>413</v>
      </c>
      <c r="K2" s="17" t="s">
        <v>847</v>
      </c>
      <c r="L2" s="17" t="s">
        <v>847</v>
      </c>
      <c r="M2" s="17" t="s">
        <v>847</v>
      </c>
      <c r="N2" s="17" t="s">
        <v>847</v>
      </c>
      <c r="O2" s="17" t="s">
        <v>848</v>
      </c>
      <c r="P2" s="17" t="s">
        <v>848</v>
      </c>
      <c r="Q2" s="17" t="s">
        <v>848</v>
      </c>
      <c r="R2" s="17" t="s">
        <v>848</v>
      </c>
      <c r="S2" s="17" t="s">
        <v>848</v>
      </c>
      <c r="T2" s="17" t="s">
        <v>848</v>
      </c>
      <c r="U2" s="17" t="s">
        <v>848</v>
      </c>
      <c r="V2" s="17" t="s">
        <v>850</v>
      </c>
      <c r="W2" s="17">
        <f t="shared" si="0"/>
        <v>23</v>
      </c>
      <c r="X2" s="17" t="str">
        <f t="shared" si="1"/>
        <v>Crítico</v>
      </c>
      <c r="Y2" s="17" t="s">
        <v>851</v>
      </c>
      <c r="Z2" s="17" t="s">
        <v>852</v>
      </c>
      <c r="AA2" s="17" t="s">
        <v>853</v>
      </c>
      <c r="AB2" s="17" t="s">
        <v>856</v>
      </c>
      <c r="AC2" s="17"/>
      <c r="AD2" s="17"/>
      <c r="AE2" s="17"/>
      <c r="AF2" s="72"/>
      <c r="AH2" s="72"/>
      <c r="AI2" s="72"/>
      <c r="AJ2" s="72"/>
      <c r="AK2" s="72"/>
    </row>
    <row r="3" spans="1:37" s="69" customFormat="1" ht="35.25" customHeight="1">
      <c r="A3" s="21" t="s">
        <v>857</v>
      </c>
      <c r="B3" s="53" t="s">
        <v>638</v>
      </c>
      <c r="C3" s="17" t="s">
        <v>639</v>
      </c>
      <c r="D3" s="17" t="s">
        <v>846</v>
      </c>
      <c r="E3" s="17" t="str" cm="1">
        <f t="array" ref="E3">IF($F3="Information Disclosure",Formatação!H$5,IF($F3="Repudiation",Formatação!H$4,IF($F3="Spoofing",Formatação!H$2,IF($F3="Tampering",Formatação!H$3, IF($F3="Denial of Service",Formatação!H$6,IF($F3="Elevation of Privilege",Formatação!H$7,IF($F3="Lateral Movement",Formatação!H$8,Errado)))))))</f>
        <v>Autenticação</v>
      </c>
      <c r="F3" s="17" t="s">
        <v>102</v>
      </c>
      <c r="G3" s="17" t="str" cm="1">
        <f t="array" ref="G3">IF($F3="Information Disclosure",Formatação!J$5,IF($F3="Repudiation",Formatação!J$4,IF($F3="Spoofing",Formatação!J$2,IF($F3="Tampering",Formatação!J$3, IF($F3="Denial of Service",Formatação!J$6,IF($F3="Elevation of Privilege",Formatação!J$7,IF($F3="Lateral Movement",Formatação!J$8,Errado)))))))</f>
        <v>Fraudes/Vazamento de dados</v>
      </c>
      <c r="H3" s="17" t="s">
        <v>271</v>
      </c>
      <c r="I3" s="17" t="s">
        <v>409</v>
      </c>
      <c r="J3" s="17" t="s">
        <v>413</v>
      </c>
      <c r="K3" s="17" t="s">
        <v>847</v>
      </c>
      <c r="L3" s="17" t="s">
        <v>847</v>
      </c>
      <c r="M3" s="17" t="s">
        <v>847</v>
      </c>
      <c r="N3" s="17" t="s">
        <v>847</v>
      </c>
      <c r="O3" s="17" t="s">
        <v>848</v>
      </c>
      <c r="P3" s="17" t="s">
        <v>848</v>
      </c>
      <c r="Q3" s="17" t="s">
        <v>848</v>
      </c>
      <c r="R3" s="17" t="s">
        <v>848</v>
      </c>
      <c r="S3" s="17" t="s">
        <v>848</v>
      </c>
      <c r="T3" s="17" t="s">
        <v>848</v>
      </c>
      <c r="U3" s="17" t="s">
        <v>848</v>
      </c>
      <c r="V3" s="17" t="s">
        <v>858</v>
      </c>
      <c r="W3" s="17">
        <f t="shared" si="0"/>
        <v>21</v>
      </c>
      <c r="X3" s="17" t="str">
        <f t="shared" si="1"/>
        <v>Crítico</v>
      </c>
      <c r="Y3" s="17" t="s">
        <v>851</v>
      </c>
      <c r="Z3" s="17" t="e" vm="1">
        <f>VLOOKUP(Tabela7[[#This Row],[Controle]],[1]!Tabela135[#Data],33,FALSE)</f>
        <v>#REF!</v>
      </c>
      <c r="AA3" s="17" t="e" vm="1">
        <f>VLOOKUP(Tabela7[[#This Row],[Controle]],[1]!Tabela135[#Data],34,FALSE)</f>
        <v>#REF!</v>
      </c>
      <c r="AB3" s="17" t="s">
        <v>856</v>
      </c>
      <c r="AC3" s="17"/>
      <c r="AD3" s="17"/>
      <c r="AE3" s="17"/>
      <c r="AF3" s="72"/>
      <c r="AH3" s="72"/>
      <c r="AI3" s="72"/>
      <c r="AJ3" s="72"/>
      <c r="AK3" s="72"/>
    </row>
    <row r="4" spans="1:37" s="69" customFormat="1" ht="35.25" customHeight="1">
      <c r="A4" s="21" t="s">
        <v>859</v>
      </c>
      <c r="B4" s="53" t="s">
        <v>860</v>
      </c>
      <c r="C4" s="17" t="s">
        <v>640</v>
      </c>
      <c r="D4" s="17" t="s">
        <v>846</v>
      </c>
      <c r="E4" s="17" t="str" cm="1">
        <f t="array" ref="E4">IF($F4="Information Disclosure",Formatação!H$5,IF($F4="Repudiation",Formatação!H$4,IF($F4="Spoofing",Formatação!H$2,IF($F4="Tampering",Formatação!H$3, IF($F4="Denial of Service",Formatação!H$6,IF($F4="Elevation of Privilege",Formatação!H$7,IF($F4="Lateral Movement",Formatação!H$8,Errado)))))))</f>
        <v>Integridade</v>
      </c>
      <c r="F4" s="17" t="s">
        <v>25</v>
      </c>
      <c r="G4" s="17" t="str" cm="1">
        <f t="array" ref="G4">IF($F4="Information Disclosure",Formatação!J$5,IF($F4="Repudiation",Formatação!J$4,IF($F4="Spoofing",Formatação!J$2,IF($F4="Tampering",Formatação!J$3, IF($F4="Denial of Service",Formatação!J$6,IF($F4="Elevation of Privilege",Formatação!J$7,IF($F4="Lateral Movement",Formatação!J$8,Errado)))))))</f>
        <v>Danos a imagem</v>
      </c>
      <c r="H4" s="17" t="s">
        <v>259</v>
      </c>
      <c r="I4" s="17" t="s">
        <v>409</v>
      </c>
      <c r="J4" s="17" t="s">
        <v>232</v>
      </c>
      <c r="K4" s="17" t="s">
        <v>847</v>
      </c>
      <c r="L4" s="17" t="s">
        <v>847</v>
      </c>
      <c r="M4" s="17" t="s">
        <v>847</v>
      </c>
      <c r="N4" s="17" t="s">
        <v>847</v>
      </c>
      <c r="O4" s="17" t="s">
        <v>848</v>
      </c>
      <c r="P4" s="17" t="s">
        <v>848</v>
      </c>
      <c r="Q4" s="17" t="s">
        <v>848</v>
      </c>
      <c r="R4" s="17" t="s">
        <v>849</v>
      </c>
      <c r="S4" s="17" t="s">
        <v>849</v>
      </c>
      <c r="T4" s="17" t="s">
        <v>849</v>
      </c>
      <c r="U4" s="17" t="s">
        <v>849</v>
      </c>
      <c r="V4" s="17" t="s">
        <v>848</v>
      </c>
      <c r="W4" s="17">
        <f t="shared" si="0"/>
        <v>20</v>
      </c>
      <c r="X4" s="17" t="str">
        <f t="shared" si="1"/>
        <v>Crítico</v>
      </c>
      <c r="Y4" s="17" t="s">
        <v>851</v>
      </c>
      <c r="Z4" s="17" t="s">
        <v>852</v>
      </c>
      <c r="AA4" s="17" t="s">
        <v>853</v>
      </c>
      <c r="AB4" s="17" t="s">
        <v>854</v>
      </c>
      <c r="AC4" s="17"/>
      <c r="AD4" s="17"/>
      <c r="AE4" s="17"/>
      <c r="AF4" s="72"/>
      <c r="AH4" s="72"/>
      <c r="AI4" s="72"/>
      <c r="AJ4" s="72"/>
      <c r="AK4" s="72"/>
    </row>
    <row r="5" spans="1:37" s="69" customFormat="1" ht="35.25" customHeight="1">
      <c r="A5" s="21" t="s">
        <v>861</v>
      </c>
      <c r="B5" s="53" t="s">
        <v>386</v>
      </c>
      <c r="C5" s="17" t="s">
        <v>641</v>
      </c>
      <c r="D5" s="17" t="s">
        <v>846</v>
      </c>
      <c r="E5" s="17" t="str" cm="1">
        <f t="array" ref="E5">IF($F5="Information Disclosure",Formatação!H$5,IF($F5="Repudiation",Formatação!H$4,IF($F5="Spoofing",Formatação!H$2,IF($F5="Tampering",Formatação!H$3, IF($F5="Denial of Service",Formatação!H$6,IF($F5="Elevation of Privilege",Formatação!H$7,IF($F5="Lateral Movement",Formatação!H$8,Errado)))))))</f>
        <v>Não repúdio</v>
      </c>
      <c r="F5" s="17" t="s">
        <v>32</v>
      </c>
      <c r="G5" s="17" t="str" cm="1">
        <f t="array" ref="G5">IF($F5="Information Disclosure",Formatação!J$5,IF($F5="Repudiation",Formatação!J$4,IF($F5="Spoofing",Formatação!J$2,IF($F5="Tampering",Formatação!J$3, IF($F5="Denial of Service",Formatação!J$6,IF($F5="Elevation of Privilege",Formatação!J$7,IF($F5="Lateral Movement",Formatação!J$8,Errado)))))))</f>
        <v>Regulatório/Compliance</v>
      </c>
      <c r="H5" s="17" t="s">
        <v>33</v>
      </c>
      <c r="I5" s="17" t="s">
        <v>231</v>
      </c>
      <c r="J5" s="17" t="s">
        <v>232</v>
      </c>
      <c r="K5" s="17" t="s">
        <v>847</v>
      </c>
      <c r="L5" s="17" t="s">
        <v>847</v>
      </c>
      <c r="M5" s="17" t="s">
        <v>847</v>
      </c>
      <c r="N5" s="17" t="s">
        <v>847</v>
      </c>
      <c r="O5" s="17" t="s">
        <v>849</v>
      </c>
      <c r="P5" s="17" t="s">
        <v>849</v>
      </c>
      <c r="Q5" s="17" t="s">
        <v>848</v>
      </c>
      <c r="R5" s="17" t="s">
        <v>848</v>
      </c>
      <c r="S5" s="17" t="s">
        <v>848</v>
      </c>
      <c r="T5" s="17" t="s">
        <v>848</v>
      </c>
      <c r="U5" s="17" t="s">
        <v>848</v>
      </c>
      <c r="V5" s="17" t="s">
        <v>850</v>
      </c>
      <c r="W5" s="17">
        <f t="shared" si="0"/>
        <v>21</v>
      </c>
      <c r="X5" s="17" t="str">
        <f t="shared" si="1"/>
        <v>Crítico</v>
      </c>
      <c r="Y5" s="17" t="s">
        <v>862</v>
      </c>
      <c r="Z5" s="17" t="s">
        <v>852</v>
      </c>
      <c r="AA5" s="17" t="s">
        <v>863</v>
      </c>
      <c r="AB5" s="17" t="s">
        <v>854</v>
      </c>
      <c r="AC5" s="17"/>
      <c r="AD5" s="17"/>
      <c r="AE5" s="17"/>
      <c r="AF5" s="72"/>
      <c r="AH5" s="72"/>
      <c r="AI5" s="72"/>
      <c r="AJ5" s="72"/>
      <c r="AK5" s="72"/>
    </row>
    <row r="6" spans="1:37" s="69" customFormat="1" ht="35.25" customHeight="1">
      <c r="A6" s="21" t="s">
        <v>864</v>
      </c>
      <c r="B6" s="53" t="s">
        <v>388</v>
      </c>
      <c r="C6" s="17" t="s">
        <v>642</v>
      </c>
      <c r="D6" s="17" t="s">
        <v>846</v>
      </c>
      <c r="E6" s="17" t="str" cm="1">
        <f t="array" ref="E6">IF($F6="Information Disclosure",Formatação!H$5,IF($F6="Repudiation",Formatação!H$4,IF($F6="Spoofing",Formatação!H$2,IF($F6="Tampering",Formatação!H$3, IF($F6="Denial of Service",Formatação!H$6,IF($F6="Elevation of Privilege",Formatação!H$7,IF($F6="Lateral Movement",Formatação!H$8,Errado)))))))</f>
        <v>Confidencialidade</v>
      </c>
      <c r="F6" s="17" t="s">
        <v>67</v>
      </c>
      <c r="G6" s="17" t="str" cm="1">
        <f t="array" ref="G6">IF($F6="Information Disclosure",Formatação!J$5,IF($F6="Repudiation",Formatação!J$4,IF($F6="Spoofing",Formatação!J$2,IF($F6="Tampering",Formatação!J$3, IF($F6="Denial of Service",Formatação!J$6,IF($F6="Elevation of Privilege",Formatação!J$7,IF($F6="Lateral Movement",Formatação!J$8,Errado)))))))</f>
        <v>Vazamento de dados</v>
      </c>
      <c r="H6" s="17" t="s">
        <v>26</v>
      </c>
      <c r="I6" s="17" t="s">
        <v>409</v>
      </c>
      <c r="J6" s="17" t="s">
        <v>232</v>
      </c>
      <c r="K6" s="17" t="s">
        <v>847</v>
      </c>
      <c r="L6" s="17" t="s">
        <v>847</v>
      </c>
      <c r="M6" s="17" t="s">
        <v>847</v>
      </c>
      <c r="N6" s="17" t="s">
        <v>847</v>
      </c>
      <c r="O6" s="17" t="s">
        <v>849</v>
      </c>
      <c r="P6" s="17" t="s">
        <v>848</v>
      </c>
      <c r="Q6" s="17" t="s">
        <v>848</v>
      </c>
      <c r="R6" s="17" t="s">
        <v>849</v>
      </c>
      <c r="S6" s="17" t="s">
        <v>849</v>
      </c>
      <c r="T6" s="17" t="s">
        <v>849</v>
      </c>
      <c r="U6" s="17" t="s">
        <v>849</v>
      </c>
      <c r="V6" s="17" t="s">
        <v>865</v>
      </c>
      <c r="W6" s="17">
        <f t="shared" si="0"/>
        <v>16</v>
      </c>
      <c r="X6" s="17" t="str">
        <f t="shared" si="1"/>
        <v>Alto</v>
      </c>
      <c r="Y6" s="17" t="s">
        <v>851</v>
      </c>
      <c r="Z6" s="17" t="e" vm="1">
        <f>VLOOKUP(Tabela7[[#This Row],[Controle]],[1]!Tabela135[#Data],33,FALSE)</f>
        <v>#REF!</v>
      </c>
      <c r="AA6" s="17" t="e" vm="1">
        <f>VLOOKUP(Tabela7[[#This Row],[Controle]],[1]!Tabela135[#Data],34,FALSE)</f>
        <v>#REF!</v>
      </c>
      <c r="AB6" s="17" t="s">
        <v>854</v>
      </c>
      <c r="AC6" s="17"/>
      <c r="AD6" s="17"/>
      <c r="AE6" s="17"/>
      <c r="AF6" s="72"/>
      <c r="AH6" s="72"/>
      <c r="AI6" s="72"/>
      <c r="AJ6" s="72"/>
      <c r="AK6" s="72"/>
    </row>
    <row r="9" spans="1:37" ht="26.1">
      <c r="B9" s="91" t="s">
        <v>866</v>
      </c>
    </row>
  </sheetData>
  <conditionalFormatting sqref="O4:O5">
    <cfRule type="containsText" dxfId="115" priority="1" operator="containsText" text="Não">
      <formula>NOT(ISERROR(SEARCH("Não",O4)))</formula>
    </cfRule>
  </conditionalFormatting>
  <conditionalFormatting sqref="O1:AA1 K1:N6 AB1:AC6 O2:P3 Q2:AA6 P4:P6">
    <cfRule type="containsText" dxfId="114" priority="2" operator="containsText" text="Não">
      <formula>NOT(ISERROR(SEARCH("Não",K1)))</formula>
    </cfRule>
  </conditionalFormatting>
  <pageMargins left="0.511811024" right="0.511811024" top="0.78740157499999996" bottom="0.78740157499999996" header="0.31496062000000002" footer="0.31496062000000002"/>
  <extLst>
    <ext xmlns:x14="http://schemas.microsoft.com/office/spreadsheetml/2009/9/main" uri="{CCE6A557-97BC-4b89-ADB6-D9C93CAAB3DF}">
      <x14:dataValidations xmlns:xm="http://schemas.microsoft.com/office/excel/2006/main" count="6">
        <x14:dataValidation type="list" allowBlank="1" showInputMessage="1" showErrorMessage="1" xr:uid="{777619B4-9AFA-4F14-A567-3C531D90D764}">
          <x14:formula1>
            <xm:f>Formatação!$D$2:$D$12</xm:f>
          </x14:formula1>
          <xm:sqref>H1:H6</xm:sqref>
        </x14:dataValidation>
        <x14:dataValidation type="list" allowBlank="1" showInputMessage="1" showErrorMessage="1" xr:uid="{7CC406B3-E500-46F8-9151-93C559383003}">
          <x14:formula1>
            <xm:f>Formatação!$C$2:$C$8</xm:f>
          </x14:formula1>
          <xm:sqref>F1:F6</xm:sqref>
        </x14:dataValidation>
        <x14:dataValidation type="list" allowBlank="1" showInputMessage="1" showErrorMessage="1" xr:uid="{EC46C450-5AF0-40A2-BF7E-58F7AB2A56F8}">
          <x14:formula1>
            <xm:f>Formatação!$F$2:$F$13</xm:f>
          </x14:formula1>
          <xm:sqref>J1:J6</xm:sqref>
        </x14:dataValidation>
        <x14:dataValidation type="list" allowBlank="1" showInputMessage="1" showErrorMessage="1" xr:uid="{818DB77D-8902-4C1D-8602-AF31C8191D95}">
          <x14:formula1>
            <xm:f>Formatação!$G$2:$G$10</xm:f>
          </x14:formula1>
          <xm:sqref>I1:I6</xm:sqref>
        </x14:dataValidation>
        <x14:dataValidation type="list" allowBlank="1" showInputMessage="1" showErrorMessage="1" xr:uid="{DB5FD24D-5F99-42D3-89DF-3D1BDC1584FA}">
          <x14:formula1>
            <xm:f>Formatação!$E$2:$E$3</xm:f>
          </x14:formula1>
          <xm:sqref>K1:N6</xm:sqref>
        </x14:dataValidation>
        <x14:dataValidation type="list" allowBlank="1" showInputMessage="1" showErrorMessage="1" xr:uid="{116A8E8D-B96C-425B-BF3D-247007C0AA21}">
          <x14:formula1>
            <xm:f>Formatação!$A$2:$A$41</xm:f>
          </x14:formula1>
          <xm:sqref>D1:D6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64F26-B20A-465F-BF07-EF90CFE3B38A}">
  <sheetPr>
    <tabColor rgb="FF00B050"/>
  </sheetPr>
  <dimension ref="A1:AQ194"/>
  <sheetViews>
    <sheetView topLeftCell="A22" zoomScale="55" zoomScaleNormal="55" workbookViewId="0">
      <pane xSplit="2" topLeftCell="C1" activePane="topRight" state="frozen"/>
      <selection pane="topRight" activeCell="D187" sqref="A1:D187"/>
    </sheetView>
  </sheetViews>
  <sheetFormatPr defaultColWidth="8.7109375" defaultRowHeight="35.25" customHeight="1"/>
  <cols>
    <col min="1" max="1" width="20" style="69" customWidth="1"/>
    <col min="2" max="2" width="55.42578125" style="69" customWidth="1"/>
    <col min="3" max="3" width="85.7109375" style="69" customWidth="1"/>
    <col min="4" max="5" width="19.42578125" style="75" customWidth="1"/>
    <col min="6" max="6" width="19.140625" style="75" customWidth="1"/>
    <col min="7" max="7" width="29.140625" style="75" customWidth="1"/>
    <col min="8" max="8" width="20.85546875" style="75" customWidth="1"/>
    <col min="9" max="9" width="19.28515625" style="75" customWidth="1"/>
    <col min="10" max="10" width="14.85546875" style="75" customWidth="1"/>
    <col min="11" max="11" width="11.85546875" style="75" customWidth="1"/>
    <col min="12" max="12" width="8.42578125" style="75" customWidth="1"/>
    <col min="13" max="13" width="9.140625" style="75" customWidth="1"/>
    <col min="14" max="14" width="9" style="75" customWidth="1"/>
    <col min="15" max="15" width="17.28515625" style="75" bestFit="1" customWidth="1"/>
    <col min="16" max="16" width="13.7109375" style="75" customWidth="1"/>
    <col min="17" max="17" width="20.85546875" style="75" customWidth="1"/>
    <col min="18" max="18" width="27.7109375" style="75" customWidth="1"/>
    <col min="19" max="20" width="16.42578125" style="75" customWidth="1"/>
    <col min="21" max="21" width="18" style="75" customWidth="1"/>
    <col min="22" max="22" width="29.140625" style="75" customWidth="1"/>
    <col min="23" max="23" width="18.42578125" style="75" customWidth="1"/>
    <col min="24" max="25" width="46.140625" style="75" customWidth="1"/>
    <col min="26" max="26" width="42.85546875" style="69" customWidth="1"/>
    <col min="27" max="27" width="11.42578125" style="69" bestFit="1" customWidth="1"/>
    <col min="28" max="28" width="13.42578125" style="69" bestFit="1" customWidth="1"/>
    <col min="29" max="29" width="19.85546875" style="69" bestFit="1" customWidth="1"/>
    <col min="30" max="30" width="21.140625" style="69" customWidth="1"/>
    <col min="31" max="31" width="36.42578125" style="69" customWidth="1"/>
    <col min="32" max="32" width="22.28515625" style="69" bestFit="1" customWidth="1"/>
    <col min="33" max="33" width="23.85546875" style="69" bestFit="1" customWidth="1"/>
    <col min="34" max="34" width="20.7109375" style="69" bestFit="1" customWidth="1"/>
    <col min="35" max="35" width="36.42578125" style="69" bestFit="1" customWidth="1"/>
    <col min="36" max="16384" width="8.7109375" style="69"/>
  </cols>
  <sheetData>
    <row r="1" spans="1:43" s="76" customFormat="1" ht="35.25" customHeight="1">
      <c r="A1" s="17" t="s">
        <v>867</v>
      </c>
      <c r="B1" s="22" t="s">
        <v>44</v>
      </c>
      <c r="C1" s="23" t="s">
        <v>223</v>
      </c>
      <c r="D1" s="23" t="s">
        <v>1</v>
      </c>
      <c r="E1" s="23" t="s">
        <v>224</v>
      </c>
      <c r="F1" s="23" t="s">
        <v>3</v>
      </c>
      <c r="G1" s="23" t="s">
        <v>225</v>
      </c>
      <c r="H1" s="23" t="s">
        <v>4</v>
      </c>
      <c r="I1" s="23" t="s">
        <v>226</v>
      </c>
      <c r="J1" s="23" t="s">
        <v>227</v>
      </c>
      <c r="K1" s="23" t="s">
        <v>5</v>
      </c>
      <c r="L1" s="23" t="s">
        <v>6</v>
      </c>
      <c r="M1" s="23" t="s">
        <v>7</v>
      </c>
      <c r="N1" s="23" t="s">
        <v>8</v>
      </c>
      <c r="O1" s="24" t="s">
        <v>868</v>
      </c>
      <c r="P1" s="24" t="s">
        <v>869</v>
      </c>
      <c r="Q1" s="24" t="s">
        <v>870</v>
      </c>
      <c r="R1" s="24" t="s">
        <v>871</v>
      </c>
      <c r="S1" s="24" t="s">
        <v>872</v>
      </c>
      <c r="T1" s="24" t="s">
        <v>873</v>
      </c>
      <c r="U1" s="24" t="s">
        <v>874</v>
      </c>
      <c r="V1" s="24" t="s">
        <v>875</v>
      </c>
      <c r="W1" s="24" t="s">
        <v>876</v>
      </c>
      <c r="X1" s="24" t="s">
        <v>877</v>
      </c>
      <c r="Y1" s="24" t="s">
        <v>878</v>
      </c>
      <c r="Z1" s="64" t="s">
        <v>879</v>
      </c>
      <c r="AA1" s="24" t="s">
        <v>880</v>
      </c>
      <c r="AB1" s="23" t="s">
        <v>881</v>
      </c>
      <c r="AC1" s="23" t="s">
        <v>882</v>
      </c>
      <c r="AD1" s="23" t="s">
        <v>883</v>
      </c>
      <c r="AE1" s="23" t="s">
        <v>884</v>
      </c>
      <c r="AF1" s="23" t="s">
        <v>885</v>
      </c>
      <c r="AG1" s="23" t="s">
        <v>886</v>
      </c>
      <c r="AH1" s="23" t="s">
        <v>887</v>
      </c>
    </row>
    <row r="2" spans="1:43" ht="35.25" hidden="1" customHeight="1">
      <c r="A2" s="53" t="s">
        <v>888</v>
      </c>
      <c r="B2" s="78" t="s">
        <v>889</v>
      </c>
      <c r="C2" s="17" t="s">
        <v>890</v>
      </c>
      <c r="D2" s="17" t="s">
        <v>230</v>
      </c>
      <c r="E2" s="17" t="str" cm="1">
        <f t="array" ref="E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2" s="17" t="s">
        <v>25</v>
      </c>
      <c r="G2" s="17" t="str" cm="1">
        <f t="array" ref="G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2" s="17" t="s">
        <v>29</v>
      </c>
      <c r="I2" s="17" t="s">
        <v>231</v>
      </c>
      <c r="J2" s="17" t="s">
        <v>232</v>
      </c>
      <c r="K2" s="17" t="s">
        <v>16</v>
      </c>
      <c r="L2" s="17" t="s">
        <v>16</v>
      </c>
      <c r="M2" s="17" t="s">
        <v>16</v>
      </c>
      <c r="N2" s="17" t="s">
        <v>15</v>
      </c>
      <c r="O2" s="17" t="s">
        <v>891</v>
      </c>
      <c r="P2" s="17" t="s">
        <v>892</v>
      </c>
      <c r="Q2" s="17"/>
      <c r="R2" s="17" t="s">
        <v>891</v>
      </c>
      <c r="S2" s="17" t="s">
        <v>891</v>
      </c>
      <c r="T2" s="17" t="s">
        <v>892</v>
      </c>
      <c r="U2" s="17" t="s">
        <v>892</v>
      </c>
      <c r="V2" s="17"/>
      <c r="W2" s="17" t="s">
        <v>854</v>
      </c>
      <c r="X2" s="17"/>
      <c r="Y2" s="17"/>
      <c r="Z2" s="61" t="s">
        <v>893</v>
      </c>
      <c r="AA2" s="17"/>
      <c r="AB2" s="60"/>
      <c r="AC2" s="60"/>
      <c r="AD2" s="60" t="s">
        <v>894</v>
      </c>
      <c r="AE2" s="60"/>
      <c r="AF2" s="60"/>
      <c r="AG2" s="60"/>
      <c r="AH2" s="60" t="s">
        <v>895</v>
      </c>
      <c r="AI2" s="70"/>
      <c r="AJ2" s="71"/>
      <c r="AK2" s="71"/>
      <c r="AL2" s="71"/>
      <c r="AM2" s="70"/>
      <c r="AN2" s="71"/>
      <c r="AO2" s="71"/>
      <c r="AP2" s="71"/>
      <c r="AQ2" s="71"/>
    </row>
    <row r="3" spans="1:43" ht="35.25" hidden="1" customHeight="1">
      <c r="A3" s="53" t="s">
        <v>896</v>
      </c>
      <c r="B3" s="21" t="s">
        <v>897</v>
      </c>
      <c r="C3" s="17" t="s">
        <v>898</v>
      </c>
      <c r="D3" s="17" t="s">
        <v>230</v>
      </c>
      <c r="E3" s="17" t="str" cm="1">
        <f t="array" ref="E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3" s="17" t="s">
        <v>35</v>
      </c>
      <c r="G3" s="17" t="str" cm="1">
        <f t="array" ref="G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3" s="17" t="s">
        <v>14</v>
      </c>
      <c r="I3" s="17" t="s">
        <v>231</v>
      </c>
      <c r="J3" s="17" t="s">
        <v>232</v>
      </c>
      <c r="K3" s="17" t="s">
        <v>16</v>
      </c>
      <c r="L3" s="17" t="s">
        <v>16</v>
      </c>
      <c r="M3" s="17" t="s">
        <v>16</v>
      </c>
      <c r="N3" s="17" t="s">
        <v>15</v>
      </c>
      <c r="O3" s="17" t="s">
        <v>891</v>
      </c>
      <c r="P3" s="17" t="s">
        <v>892</v>
      </c>
      <c r="Q3" s="17"/>
      <c r="R3" s="17" t="s">
        <v>891</v>
      </c>
      <c r="S3" s="17" t="s">
        <v>891</v>
      </c>
      <c r="T3" s="17" t="s">
        <v>891</v>
      </c>
      <c r="U3" s="17" t="s">
        <v>892</v>
      </c>
      <c r="V3" s="17"/>
      <c r="W3" s="17" t="s">
        <v>854</v>
      </c>
      <c r="X3" s="17"/>
      <c r="Y3" s="17"/>
      <c r="Z3" s="79" t="s">
        <v>899</v>
      </c>
      <c r="AA3" s="17"/>
      <c r="AB3" s="17"/>
      <c r="AC3" s="17"/>
      <c r="AD3" s="17" t="s">
        <v>900</v>
      </c>
      <c r="AE3" s="17"/>
      <c r="AF3" s="17"/>
      <c r="AG3" s="17"/>
      <c r="AH3" s="17" t="s">
        <v>901</v>
      </c>
      <c r="AJ3" s="71"/>
      <c r="AK3" s="71"/>
      <c r="AL3" s="71"/>
      <c r="AM3" s="70"/>
      <c r="AN3" s="71"/>
      <c r="AO3" s="71"/>
      <c r="AP3" s="71"/>
      <c r="AQ3" s="71"/>
    </row>
    <row r="4" spans="1:43" ht="35.25" customHeight="1">
      <c r="A4" s="53" t="s">
        <v>902</v>
      </c>
      <c r="B4" s="21" t="s">
        <v>903</v>
      </c>
      <c r="C4" s="17" t="s">
        <v>904</v>
      </c>
      <c r="D4" s="17" t="s">
        <v>230</v>
      </c>
      <c r="E4" s="17" t="str" cm="1">
        <f t="array" ref="E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4" s="17" t="s">
        <v>35</v>
      </c>
      <c r="G4" s="17" t="str" cm="1">
        <f t="array" ref="G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4" s="17" t="s">
        <v>244</v>
      </c>
      <c r="I4" s="17" t="s">
        <v>231</v>
      </c>
      <c r="J4" s="17" t="s">
        <v>232</v>
      </c>
      <c r="K4" s="17" t="s">
        <v>16</v>
      </c>
      <c r="L4" s="17" t="s">
        <v>16</v>
      </c>
      <c r="M4" s="17" t="s">
        <v>16</v>
      </c>
      <c r="N4" s="17" t="s">
        <v>16</v>
      </c>
      <c r="O4" s="17" t="s">
        <v>891</v>
      </c>
      <c r="P4" s="17" t="s">
        <v>892</v>
      </c>
      <c r="Q4" s="17"/>
      <c r="R4" s="17" t="s">
        <v>891</v>
      </c>
      <c r="S4" s="17" t="s">
        <v>891</v>
      </c>
      <c r="T4" s="17" t="s">
        <v>891</v>
      </c>
      <c r="U4" s="17" t="s">
        <v>891</v>
      </c>
      <c r="V4" s="17"/>
      <c r="W4" s="17" t="s">
        <v>854</v>
      </c>
      <c r="X4" s="17"/>
      <c r="Y4" s="17"/>
      <c r="Z4" s="17"/>
      <c r="AA4" s="17"/>
      <c r="AB4" s="17"/>
      <c r="AC4" s="17"/>
      <c r="AD4" s="17"/>
      <c r="AE4" s="17"/>
      <c r="AF4" s="17"/>
      <c r="AG4" s="17"/>
      <c r="AH4" s="17" t="s">
        <v>905</v>
      </c>
      <c r="AJ4" s="72"/>
      <c r="AK4" s="72"/>
      <c r="AL4" s="72"/>
      <c r="AN4" s="72"/>
      <c r="AO4" s="72"/>
      <c r="AP4" s="72"/>
      <c r="AQ4" s="72"/>
    </row>
    <row r="5" spans="1:43" ht="35.25" hidden="1" customHeight="1">
      <c r="A5" s="53" t="s">
        <v>906</v>
      </c>
      <c r="B5" s="21" t="s">
        <v>907</v>
      </c>
      <c r="C5" s="17" t="s">
        <v>908</v>
      </c>
      <c r="D5" s="17" t="s">
        <v>230</v>
      </c>
      <c r="E5" s="17" t="str" cm="1">
        <f t="array" ref="E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5" s="17" t="s">
        <v>239</v>
      </c>
      <c r="G5" s="17" t="str" cm="1">
        <f t="array" ref="G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5" s="17" t="s">
        <v>14</v>
      </c>
      <c r="I5" s="17" t="s">
        <v>231</v>
      </c>
      <c r="J5" s="17" t="s">
        <v>232</v>
      </c>
      <c r="K5" s="17" t="s">
        <v>16</v>
      </c>
      <c r="L5" s="17" t="s">
        <v>16</v>
      </c>
      <c r="M5" s="17" t="s">
        <v>16</v>
      </c>
      <c r="N5" s="17" t="s">
        <v>15</v>
      </c>
      <c r="O5" s="17" t="s">
        <v>891</v>
      </c>
      <c r="P5" s="17" t="s">
        <v>891</v>
      </c>
      <c r="Q5" s="17"/>
      <c r="R5" s="17" t="s">
        <v>891</v>
      </c>
      <c r="S5" s="17" t="s">
        <v>891</v>
      </c>
      <c r="T5" s="17" t="s">
        <v>892</v>
      </c>
      <c r="U5" s="17" t="s">
        <v>892</v>
      </c>
      <c r="V5" s="17"/>
      <c r="W5" s="17" t="s">
        <v>854</v>
      </c>
      <c r="X5" s="17"/>
      <c r="Y5" s="17"/>
      <c r="Z5" s="17"/>
      <c r="AA5" s="17"/>
      <c r="AB5" s="17"/>
      <c r="AC5" s="17"/>
      <c r="AD5" s="17"/>
      <c r="AE5" s="17"/>
      <c r="AF5" s="17"/>
      <c r="AG5" s="17"/>
      <c r="AH5" s="17" t="s">
        <v>909</v>
      </c>
      <c r="AJ5" s="72"/>
      <c r="AK5" s="72"/>
      <c r="AL5" s="72"/>
      <c r="AN5" s="72"/>
      <c r="AO5" s="72"/>
      <c r="AP5" s="72"/>
      <c r="AQ5" s="72"/>
    </row>
    <row r="6" spans="1:43" ht="35.25" customHeight="1">
      <c r="A6" s="53" t="s">
        <v>910</v>
      </c>
      <c r="B6" s="21" t="s">
        <v>911</v>
      </c>
      <c r="C6" s="17" t="s">
        <v>912</v>
      </c>
      <c r="D6" s="17" t="s">
        <v>230</v>
      </c>
      <c r="E6" s="17" t="str" cm="1">
        <f t="array" ref="E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6" s="17" t="s">
        <v>102</v>
      </c>
      <c r="G6" s="17" t="str" cm="1">
        <f t="array" ref="G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6" s="17" t="s">
        <v>29</v>
      </c>
      <c r="I6" s="17" t="s">
        <v>231</v>
      </c>
      <c r="J6" s="17" t="s">
        <v>232</v>
      </c>
      <c r="K6" s="17" t="s">
        <v>16</v>
      </c>
      <c r="L6" s="17" t="s">
        <v>16</v>
      </c>
      <c r="M6" s="17" t="s">
        <v>16</v>
      </c>
      <c r="N6" s="17" t="s">
        <v>16</v>
      </c>
      <c r="O6" s="17" t="s">
        <v>892</v>
      </c>
      <c r="P6" s="17" t="s">
        <v>891</v>
      </c>
      <c r="Q6" s="17"/>
      <c r="R6" s="17" t="s">
        <v>892</v>
      </c>
      <c r="S6" s="17" t="s">
        <v>891</v>
      </c>
      <c r="T6" s="17" t="s">
        <v>892</v>
      </c>
      <c r="U6" s="17" t="s">
        <v>913</v>
      </c>
      <c r="V6" s="17"/>
      <c r="W6" s="17" t="s">
        <v>854</v>
      </c>
      <c r="X6" s="17"/>
      <c r="Y6" s="17"/>
      <c r="Z6" s="17"/>
      <c r="AA6" s="17"/>
      <c r="AB6" s="17"/>
      <c r="AC6" s="17"/>
      <c r="AD6" s="17"/>
      <c r="AE6" s="17"/>
      <c r="AF6" s="17"/>
      <c r="AG6" s="17"/>
      <c r="AH6" s="17" t="s">
        <v>914</v>
      </c>
      <c r="AJ6" s="72"/>
      <c r="AK6" s="72"/>
      <c r="AL6" s="72"/>
      <c r="AN6" s="72"/>
      <c r="AO6" s="72"/>
      <c r="AP6" s="72"/>
      <c r="AQ6" s="72"/>
    </row>
    <row r="7" spans="1:43" ht="35.25" customHeight="1">
      <c r="A7" s="53" t="s">
        <v>915</v>
      </c>
      <c r="B7" s="21" t="s">
        <v>916</v>
      </c>
      <c r="C7" s="17" t="s">
        <v>917</v>
      </c>
      <c r="D7" s="17" t="s">
        <v>230</v>
      </c>
      <c r="E7" s="17" t="str" cm="1">
        <f t="array" ref="E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7" s="17" t="s">
        <v>102</v>
      </c>
      <c r="G7" s="17" t="str" cm="1">
        <f t="array" ref="G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7" s="17" t="s">
        <v>23</v>
      </c>
      <c r="I7" s="17" t="s">
        <v>231</v>
      </c>
      <c r="J7" s="17" t="s">
        <v>232</v>
      </c>
      <c r="K7" s="17" t="s">
        <v>16</v>
      </c>
      <c r="L7" s="17" t="s">
        <v>16</v>
      </c>
      <c r="M7" s="17" t="s">
        <v>16</v>
      </c>
      <c r="N7" s="17" t="s">
        <v>16</v>
      </c>
      <c r="O7" s="17" t="s">
        <v>892</v>
      </c>
      <c r="P7" s="17" t="s">
        <v>891</v>
      </c>
      <c r="Q7" s="17"/>
      <c r="R7" s="17" t="s">
        <v>892</v>
      </c>
      <c r="S7" s="17" t="s">
        <v>892</v>
      </c>
      <c r="T7" s="17" t="s">
        <v>892</v>
      </c>
      <c r="U7" s="17" t="s">
        <v>892</v>
      </c>
      <c r="V7" s="17"/>
      <c r="W7" s="17" t="s">
        <v>854</v>
      </c>
      <c r="X7" s="17"/>
      <c r="Y7" s="17"/>
      <c r="Z7" s="17"/>
      <c r="AA7" s="17"/>
      <c r="AB7" s="17"/>
      <c r="AC7" s="17"/>
      <c r="AD7" s="17"/>
      <c r="AE7" s="17"/>
      <c r="AF7" s="17"/>
      <c r="AG7" s="17"/>
      <c r="AH7" s="17" t="s">
        <v>905</v>
      </c>
      <c r="AJ7" s="72"/>
      <c r="AK7" s="72"/>
      <c r="AL7" s="72"/>
      <c r="AN7" s="72"/>
      <c r="AO7" s="72"/>
      <c r="AP7" s="72"/>
      <c r="AQ7" s="72"/>
    </row>
    <row r="8" spans="1:43" ht="35.25" customHeight="1">
      <c r="A8" s="53" t="s">
        <v>918</v>
      </c>
      <c r="B8" s="21" t="s">
        <v>919</v>
      </c>
      <c r="C8" s="17" t="s">
        <v>920</v>
      </c>
      <c r="D8" s="17" t="s">
        <v>230</v>
      </c>
      <c r="E8" s="17" t="str" cm="1">
        <f t="array" ref="E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8" s="17" t="s">
        <v>102</v>
      </c>
      <c r="G8" s="17" t="str" cm="1">
        <f t="array" ref="G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8" s="17" t="s">
        <v>23</v>
      </c>
      <c r="I8" s="17" t="s">
        <v>231</v>
      </c>
      <c r="J8" s="17" t="s">
        <v>232</v>
      </c>
      <c r="K8" s="17" t="s">
        <v>16</v>
      </c>
      <c r="L8" s="17" t="s">
        <v>16</v>
      </c>
      <c r="M8" s="17" t="s">
        <v>16</v>
      </c>
      <c r="N8" s="17" t="s">
        <v>16</v>
      </c>
      <c r="O8" s="17" t="s">
        <v>913</v>
      </c>
      <c r="P8" s="17" t="s">
        <v>891</v>
      </c>
      <c r="Q8" s="17"/>
      <c r="R8" s="17" t="s">
        <v>892</v>
      </c>
      <c r="S8" s="17" t="s">
        <v>892</v>
      </c>
      <c r="T8" s="17" t="s">
        <v>892</v>
      </c>
      <c r="U8" s="17" t="s">
        <v>892</v>
      </c>
      <c r="V8" s="17"/>
      <c r="W8" s="17" t="s">
        <v>854</v>
      </c>
      <c r="X8" s="17"/>
      <c r="Y8" s="17"/>
      <c r="Z8" s="17"/>
      <c r="AA8" s="17"/>
      <c r="AB8" s="17"/>
      <c r="AC8" s="17"/>
      <c r="AD8" s="17"/>
      <c r="AE8" s="17"/>
      <c r="AF8" s="17"/>
      <c r="AG8" s="17"/>
      <c r="AH8" s="17" t="s">
        <v>905</v>
      </c>
      <c r="AJ8" s="72"/>
      <c r="AK8" s="72"/>
      <c r="AL8" s="72"/>
      <c r="AN8" s="72"/>
      <c r="AO8" s="72"/>
      <c r="AP8" s="72"/>
      <c r="AQ8" s="72"/>
    </row>
    <row r="9" spans="1:43" ht="35.25" customHeight="1">
      <c r="A9" s="53" t="s">
        <v>921</v>
      </c>
      <c r="B9" s="21" t="s">
        <v>922</v>
      </c>
      <c r="C9" s="17" t="s">
        <v>923</v>
      </c>
      <c r="D9" s="17" t="s">
        <v>230</v>
      </c>
      <c r="E9" s="17" t="str" cm="1">
        <f t="array" ref="E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9" s="17" t="s">
        <v>35</v>
      </c>
      <c r="G9" s="17" t="str" cm="1">
        <f t="array" ref="G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9" s="17" t="s">
        <v>29</v>
      </c>
      <c r="I9" s="17" t="s">
        <v>231</v>
      </c>
      <c r="J9" s="17" t="s">
        <v>232</v>
      </c>
      <c r="K9" s="17" t="s">
        <v>16</v>
      </c>
      <c r="L9" s="17" t="s">
        <v>16</v>
      </c>
      <c r="M9" s="17" t="s">
        <v>16</v>
      </c>
      <c r="N9" s="17" t="s">
        <v>16</v>
      </c>
      <c r="O9" s="17" t="s">
        <v>891</v>
      </c>
      <c r="P9" s="17" t="s">
        <v>891</v>
      </c>
      <c r="Q9" s="17"/>
      <c r="R9" s="17" t="s">
        <v>892</v>
      </c>
      <c r="S9" s="17" t="s">
        <v>892</v>
      </c>
      <c r="T9" s="17" t="s">
        <v>892</v>
      </c>
      <c r="U9" s="17" t="s">
        <v>892</v>
      </c>
      <c r="V9" s="17"/>
      <c r="W9" s="17" t="s">
        <v>854</v>
      </c>
      <c r="X9" s="17"/>
      <c r="Y9" s="17"/>
      <c r="Z9" s="17"/>
      <c r="AA9" s="17"/>
      <c r="AB9" s="17"/>
      <c r="AC9" s="17"/>
      <c r="AD9" s="17"/>
      <c r="AE9" s="17"/>
      <c r="AF9" s="17"/>
      <c r="AG9" s="17"/>
      <c r="AH9" s="17" t="s">
        <v>905</v>
      </c>
      <c r="AJ9" s="72"/>
      <c r="AK9" s="72"/>
      <c r="AL9" s="72"/>
      <c r="AN9" s="72"/>
      <c r="AO9" s="72"/>
      <c r="AP9" s="72"/>
      <c r="AQ9" s="72"/>
    </row>
    <row r="10" spans="1:43" ht="35.25" customHeight="1">
      <c r="A10" s="53" t="s">
        <v>924</v>
      </c>
      <c r="B10" s="21" t="s">
        <v>925</v>
      </c>
      <c r="C10" s="17" t="s">
        <v>926</v>
      </c>
      <c r="D10" s="17" t="s">
        <v>230</v>
      </c>
      <c r="E10" s="17" t="str" cm="1">
        <f t="array" ref="E1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10" s="17" t="s">
        <v>239</v>
      </c>
      <c r="G10" s="17" t="str" cm="1">
        <f t="array" ref="G1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10" s="17" t="s">
        <v>26</v>
      </c>
      <c r="I10" s="17" t="s">
        <v>231</v>
      </c>
      <c r="J10" s="17" t="s">
        <v>232</v>
      </c>
      <c r="K10" s="17" t="s">
        <v>16</v>
      </c>
      <c r="L10" s="17" t="s">
        <v>16</v>
      </c>
      <c r="M10" s="17" t="s">
        <v>16</v>
      </c>
      <c r="N10" s="17" t="s">
        <v>16</v>
      </c>
      <c r="O10" s="17" t="s">
        <v>891</v>
      </c>
      <c r="P10" s="17" t="s">
        <v>892</v>
      </c>
      <c r="Q10" s="17"/>
      <c r="R10" s="17" t="s">
        <v>892</v>
      </c>
      <c r="S10" s="17" t="s">
        <v>892</v>
      </c>
      <c r="T10" s="17" t="s">
        <v>892</v>
      </c>
      <c r="U10" s="17" t="s">
        <v>892</v>
      </c>
      <c r="V10" s="17"/>
      <c r="W10" s="17" t="s">
        <v>854</v>
      </c>
      <c r="X10" s="17"/>
      <c r="Y10" s="17"/>
      <c r="Z10" s="17"/>
      <c r="AA10" s="17"/>
      <c r="AB10" s="17"/>
      <c r="AC10" s="17"/>
      <c r="AD10" s="17"/>
      <c r="AE10" s="17"/>
      <c r="AF10" s="17"/>
      <c r="AG10" s="17"/>
      <c r="AH10" s="17" t="s">
        <v>905</v>
      </c>
      <c r="AJ10" s="72"/>
      <c r="AK10" s="72"/>
      <c r="AL10" s="72"/>
      <c r="AN10" s="72"/>
      <c r="AO10" s="72"/>
      <c r="AP10" s="72"/>
      <c r="AQ10" s="72"/>
    </row>
    <row r="11" spans="1:43" ht="35.25" customHeight="1">
      <c r="A11" s="53" t="s">
        <v>927</v>
      </c>
      <c r="B11" s="21" t="s">
        <v>928</v>
      </c>
      <c r="C11" s="17" t="s">
        <v>929</v>
      </c>
      <c r="D11" s="17" t="s">
        <v>230</v>
      </c>
      <c r="E11" s="17" t="str" cm="1">
        <f t="array" ref="E1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11" s="17" t="s">
        <v>22</v>
      </c>
      <c r="G11" s="17" t="str" cm="1">
        <f t="array" ref="G1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11" s="17" t="s">
        <v>375</v>
      </c>
      <c r="I11" s="17" t="s">
        <v>409</v>
      </c>
      <c r="J11" s="17" t="s">
        <v>232</v>
      </c>
      <c r="K11" s="17" t="s">
        <v>16</v>
      </c>
      <c r="L11" s="17" t="s">
        <v>16</v>
      </c>
      <c r="M11" s="17" t="s">
        <v>16</v>
      </c>
      <c r="N11" s="17" t="s">
        <v>16</v>
      </c>
      <c r="O11" s="17" t="s">
        <v>892</v>
      </c>
      <c r="P11" s="17" t="s">
        <v>892</v>
      </c>
      <c r="Q11" s="17"/>
      <c r="R11" s="17" t="s">
        <v>892</v>
      </c>
      <c r="S11" s="17" t="s">
        <v>892</v>
      </c>
      <c r="T11" s="17" t="s">
        <v>892</v>
      </c>
      <c r="U11" s="17" t="s">
        <v>892</v>
      </c>
      <c r="V11" s="17"/>
      <c r="W11" s="17" t="s">
        <v>854</v>
      </c>
      <c r="X11" s="17"/>
      <c r="Y11" s="17"/>
      <c r="Z11" s="17"/>
      <c r="AA11" s="17"/>
      <c r="AB11" s="17"/>
      <c r="AC11" s="17"/>
      <c r="AD11" s="17"/>
      <c r="AE11" s="17"/>
      <c r="AF11" s="17"/>
      <c r="AG11" s="17"/>
      <c r="AH11" s="17" t="s">
        <v>905</v>
      </c>
      <c r="AJ11" s="72"/>
      <c r="AK11" s="72"/>
      <c r="AL11" s="72"/>
      <c r="AN11" s="72"/>
      <c r="AO11" s="72"/>
      <c r="AP11" s="72"/>
      <c r="AQ11" s="72"/>
    </row>
    <row r="12" spans="1:43" ht="35.25" customHeight="1">
      <c r="A12" s="53" t="s">
        <v>930</v>
      </c>
      <c r="B12" s="25" t="s">
        <v>115</v>
      </c>
      <c r="C12" s="17" t="s">
        <v>931</v>
      </c>
      <c r="D12" s="17" t="s">
        <v>230</v>
      </c>
      <c r="E12" s="17" t="str" cm="1">
        <f t="array" ref="E1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Contenção</v>
      </c>
      <c r="F12" s="17" t="s">
        <v>20</v>
      </c>
      <c r="G12" s="17" t="str" cm="1">
        <f t="array" ref="G1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2" s="17" t="s">
        <v>283</v>
      </c>
      <c r="I12" s="17" t="s">
        <v>231</v>
      </c>
      <c r="J12" s="17" t="s">
        <v>232</v>
      </c>
      <c r="K12" s="17" t="s">
        <v>16</v>
      </c>
      <c r="L12" s="17" t="s">
        <v>16</v>
      </c>
      <c r="M12" s="17" t="s">
        <v>16</v>
      </c>
      <c r="N12" s="17" t="s">
        <v>16</v>
      </c>
      <c r="O12" s="17" t="s">
        <v>913</v>
      </c>
      <c r="P12" s="17" t="s">
        <v>892</v>
      </c>
      <c r="Q12" s="17"/>
      <c r="R12" s="17" t="s">
        <v>892</v>
      </c>
      <c r="S12" s="17" t="s">
        <v>892</v>
      </c>
      <c r="T12" s="17" t="s">
        <v>892</v>
      </c>
      <c r="U12" s="17" t="s">
        <v>892</v>
      </c>
      <c r="V12" s="17"/>
      <c r="W12" s="17" t="s">
        <v>854</v>
      </c>
      <c r="X12" s="17"/>
      <c r="Y12" s="17"/>
      <c r="Z12" s="17"/>
      <c r="AA12" s="17"/>
      <c r="AB12" s="17"/>
      <c r="AC12" s="17"/>
      <c r="AD12" s="17"/>
      <c r="AE12" s="17"/>
      <c r="AF12" s="17"/>
      <c r="AG12" s="17"/>
      <c r="AH12" s="17" t="s">
        <v>905</v>
      </c>
      <c r="AJ12" s="72"/>
      <c r="AK12" s="72"/>
      <c r="AL12" s="72"/>
      <c r="AN12" s="72"/>
      <c r="AO12" s="72"/>
      <c r="AP12" s="72"/>
      <c r="AQ12" s="72"/>
    </row>
    <row r="13" spans="1:43" ht="35.25" customHeight="1">
      <c r="A13" s="53" t="s">
        <v>932</v>
      </c>
      <c r="B13" s="25" t="s">
        <v>933</v>
      </c>
      <c r="C13" s="17" t="s">
        <v>531</v>
      </c>
      <c r="D13" s="17" t="s">
        <v>230</v>
      </c>
      <c r="E13" s="17" t="str" cm="1">
        <f t="array" ref="E1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3" s="17" t="s">
        <v>102</v>
      </c>
      <c r="G13" s="17" t="str" cm="1">
        <f t="array" ref="G1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3" s="17" t="s">
        <v>271</v>
      </c>
      <c r="I13" s="17" t="s">
        <v>409</v>
      </c>
      <c r="J13" s="17" t="s">
        <v>413</v>
      </c>
      <c r="K13" s="17" t="s">
        <v>16</v>
      </c>
      <c r="L13" s="17" t="s">
        <v>16</v>
      </c>
      <c r="M13" s="17" t="s">
        <v>16</v>
      </c>
      <c r="N13" s="17" t="s">
        <v>16</v>
      </c>
      <c r="O13" s="17" t="s">
        <v>892</v>
      </c>
      <c r="P13" s="17" t="s">
        <v>891</v>
      </c>
      <c r="Q13" s="17"/>
      <c r="R13" s="17" t="s">
        <v>891</v>
      </c>
      <c r="S13" s="17" t="s">
        <v>891</v>
      </c>
      <c r="T13" s="17" t="s">
        <v>891</v>
      </c>
      <c r="U13" s="17" t="s">
        <v>891</v>
      </c>
      <c r="V13" s="17"/>
      <c r="W13" s="17" t="s">
        <v>856</v>
      </c>
      <c r="X13" s="17"/>
      <c r="Y13" s="17" t="s">
        <v>856</v>
      </c>
      <c r="Z13" s="17"/>
      <c r="AA13" s="17"/>
      <c r="AB13" s="17"/>
      <c r="AC13" s="17"/>
      <c r="AD13" s="17"/>
      <c r="AE13" s="17"/>
      <c r="AF13" s="17"/>
      <c r="AG13" s="17"/>
      <c r="AH13" s="17" t="s">
        <v>934</v>
      </c>
    </row>
    <row r="14" spans="1:43" ht="35.25" customHeight="1">
      <c r="A14" s="53" t="s">
        <v>935</v>
      </c>
      <c r="B14" s="25" t="s">
        <v>579</v>
      </c>
      <c r="C14" s="17" t="s">
        <v>580</v>
      </c>
      <c r="D14" s="17" t="s">
        <v>230</v>
      </c>
      <c r="E14" s="17" t="str" cm="1">
        <f t="array" ref="E1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4" s="17" t="s">
        <v>102</v>
      </c>
      <c r="G14" s="17" t="str" cm="1">
        <f t="array" ref="G1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4" s="17" t="s">
        <v>23</v>
      </c>
      <c r="I14" s="17" t="s">
        <v>231</v>
      </c>
      <c r="J14" s="17" t="s">
        <v>232</v>
      </c>
      <c r="K14" s="17" t="s">
        <v>16</v>
      </c>
      <c r="L14" s="17" t="s">
        <v>16</v>
      </c>
      <c r="M14" s="17" t="s">
        <v>16</v>
      </c>
      <c r="N14" s="17" t="s">
        <v>16</v>
      </c>
      <c r="O14" s="17" t="s">
        <v>892</v>
      </c>
      <c r="P14" s="17" t="s">
        <v>891</v>
      </c>
      <c r="Q14" s="17"/>
      <c r="R14" s="17" t="s">
        <v>892</v>
      </c>
      <c r="S14" s="17" t="s">
        <v>892</v>
      </c>
      <c r="T14" s="17" t="s">
        <v>892</v>
      </c>
      <c r="U14" s="17" t="s">
        <v>892</v>
      </c>
      <c r="V14" s="17"/>
      <c r="W14" s="17" t="s">
        <v>854</v>
      </c>
      <c r="X14" s="17"/>
      <c r="Y14" s="17"/>
      <c r="Z14" s="17"/>
      <c r="AA14" s="17"/>
      <c r="AB14" s="17"/>
      <c r="AC14" s="17"/>
      <c r="AD14" s="17"/>
      <c r="AE14" s="17"/>
      <c r="AF14" s="17"/>
      <c r="AG14" s="17"/>
      <c r="AH14" s="17" t="s">
        <v>905</v>
      </c>
    </row>
    <row r="15" spans="1:43" ht="35.25" customHeight="1">
      <c r="A15" s="53" t="s">
        <v>936</v>
      </c>
      <c r="B15" s="25" t="s">
        <v>937</v>
      </c>
      <c r="C15" s="17" t="s">
        <v>938</v>
      </c>
      <c r="D15" s="17" t="s">
        <v>230</v>
      </c>
      <c r="E15" s="17" t="str" cm="1">
        <f t="array" ref="E1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5" s="17" t="s">
        <v>102</v>
      </c>
      <c r="G15" s="17" t="str" cm="1">
        <f t="array" ref="G1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5" s="17" t="s">
        <v>375</v>
      </c>
      <c r="I15" s="17" t="s">
        <v>231</v>
      </c>
      <c r="J15" s="17" t="s">
        <v>939</v>
      </c>
      <c r="K15" s="17" t="s">
        <v>16</v>
      </c>
      <c r="L15" s="17" t="s">
        <v>16</v>
      </c>
      <c r="M15" s="17" t="s">
        <v>16</v>
      </c>
      <c r="N15" s="17" t="s">
        <v>16</v>
      </c>
      <c r="O15" s="17" t="s">
        <v>913</v>
      </c>
      <c r="P15" s="17" t="s">
        <v>892</v>
      </c>
      <c r="Q15" s="17"/>
      <c r="R15" s="17" t="s">
        <v>892</v>
      </c>
      <c r="S15" s="17" t="s">
        <v>892</v>
      </c>
      <c r="T15" s="17" t="s">
        <v>892</v>
      </c>
      <c r="U15" s="17" t="s">
        <v>892</v>
      </c>
      <c r="V15" s="17"/>
      <c r="W15" s="17" t="s">
        <v>437</v>
      </c>
      <c r="X15" s="17"/>
      <c r="Y15" s="17"/>
      <c r="Z15" s="17"/>
      <c r="AA15" s="17"/>
      <c r="AB15" s="17"/>
      <c r="AC15" s="17"/>
      <c r="AD15" s="17"/>
      <c r="AE15" s="17"/>
      <c r="AF15" s="17"/>
      <c r="AG15" s="17"/>
      <c r="AH15" s="17" t="s">
        <v>905</v>
      </c>
    </row>
    <row r="16" spans="1:43" ht="35.25" customHeight="1">
      <c r="A16" s="53" t="s">
        <v>940</v>
      </c>
      <c r="B16" s="25" t="s">
        <v>941</v>
      </c>
      <c r="C16" s="17" t="s">
        <v>942</v>
      </c>
      <c r="D16" s="17" t="s">
        <v>230</v>
      </c>
      <c r="E16" s="17" t="str" cm="1">
        <f t="array" ref="E1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6" s="17" t="s">
        <v>32</v>
      </c>
      <c r="G16" s="17" t="str" cm="1">
        <f t="array" ref="G1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6" s="17" t="s">
        <v>375</v>
      </c>
      <c r="I16" s="17" t="s">
        <v>943</v>
      </c>
      <c r="J16" s="17" t="s">
        <v>944</v>
      </c>
      <c r="K16" s="17" t="s">
        <v>16</v>
      </c>
      <c r="L16" s="17" t="s">
        <v>16</v>
      </c>
      <c r="M16" s="17" t="s">
        <v>16</v>
      </c>
      <c r="N16" s="17" t="s">
        <v>16</v>
      </c>
      <c r="O16" s="17" t="s">
        <v>892</v>
      </c>
      <c r="P16" s="17" t="s">
        <v>892</v>
      </c>
      <c r="Q16" s="17"/>
      <c r="R16" s="17" t="s">
        <v>892</v>
      </c>
      <c r="S16" s="17" t="s">
        <v>892</v>
      </c>
      <c r="T16" s="17" t="s">
        <v>892</v>
      </c>
      <c r="U16" s="17" t="s">
        <v>892</v>
      </c>
      <c r="V16" s="17"/>
      <c r="W16" s="17" t="s">
        <v>854</v>
      </c>
      <c r="X16" s="17"/>
      <c r="Y16" s="17"/>
      <c r="Z16" s="17"/>
      <c r="AA16" s="17"/>
      <c r="AB16" s="17"/>
      <c r="AC16" s="17"/>
      <c r="AD16" s="17"/>
      <c r="AE16" s="17"/>
      <c r="AF16" s="17"/>
      <c r="AG16" s="17"/>
      <c r="AH16" s="17" t="s">
        <v>905</v>
      </c>
    </row>
    <row r="17" spans="1:39" ht="35.25" customHeight="1">
      <c r="A17" s="53" t="s">
        <v>945</v>
      </c>
      <c r="B17" s="53" t="s">
        <v>946</v>
      </c>
      <c r="C17" s="17" t="s">
        <v>947</v>
      </c>
      <c r="D17" s="17" t="s">
        <v>230</v>
      </c>
      <c r="E17" s="17" t="str" cm="1">
        <f t="array" ref="E1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7" s="17" t="s">
        <v>25</v>
      </c>
      <c r="G17" s="17" t="str" cm="1">
        <f t="array" ref="G1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7" s="17" t="s">
        <v>14</v>
      </c>
      <c r="I17" s="17" t="s">
        <v>409</v>
      </c>
      <c r="J17" s="17" t="s">
        <v>232</v>
      </c>
      <c r="K17" s="17" t="s">
        <v>16</v>
      </c>
      <c r="L17" s="17" t="s">
        <v>16</v>
      </c>
      <c r="M17" s="17" t="s">
        <v>16</v>
      </c>
      <c r="N17" s="17" t="s">
        <v>16</v>
      </c>
      <c r="O17" s="17" t="s">
        <v>892</v>
      </c>
      <c r="P17" s="17" t="s">
        <v>892</v>
      </c>
      <c r="Q17" s="17"/>
      <c r="R17" s="17" t="s">
        <v>892</v>
      </c>
      <c r="S17" s="17" t="s">
        <v>892</v>
      </c>
      <c r="T17" s="17" t="s">
        <v>892</v>
      </c>
      <c r="U17" s="17" t="s">
        <v>892</v>
      </c>
      <c r="V17" s="17"/>
      <c r="W17" s="17" t="s">
        <v>854</v>
      </c>
      <c r="X17" s="17"/>
      <c r="Y17" s="17"/>
      <c r="Z17" s="17"/>
      <c r="AA17" s="17"/>
      <c r="AB17" s="17"/>
      <c r="AC17" s="17"/>
      <c r="AD17" s="17"/>
      <c r="AE17" s="17"/>
      <c r="AF17" s="17"/>
      <c r="AG17" s="77" t="s">
        <v>16</v>
      </c>
      <c r="AH17" s="17" t="s">
        <v>905</v>
      </c>
    </row>
    <row r="18" spans="1:39" ht="35.25" customHeight="1">
      <c r="A18" s="53" t="s">
        <v>948</v>
      </c>
      <c r="B18" s="53" t="s">
        <v>949</v>
      </c>
      <c r="C18" s="17" t="s">
        <v>950</v>
      </c>
      <c r="D18" s="17" t="s">
        <v>230</v>
      </c>
      <c r="E18" s="17" t="str" cm="1">
        <f t="array" ref="E1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8" s="17" t="s">
        <v>25</v>
      </c>
      <c r="G18" s="17" t="str" cm="1">
        <f t="array" ref="G1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8" s="17" t="s">
        <v>375</v>
      </c>
      <c r="I18" s="17" t="s">
        <v>951</v>
      </c>
      <c r="J18" s="17" t="s">
        <v>944</v>
      </c>
      <c r="K18" s="17" t="s">
        <v>16</v>
      </c>
      <c r="L18" s="17" t="s">
        <v>16</v>
      </c>
      <c r="M18" s="17" t="s">
        <v>16</v>
      </c>
      <c r="N18" s="17" t="s">
        <v>16</v>
      </c>
      <c r="O18" s="17" t="s">
        <v>913</v>
      </c>
      <c r="P18" s="17" t="s">
        <v>891</v>
      </c>
      <c r="Q18" s="17"/>
      <c r="R18" s="17" t="s">
        <v>892</v>
      </c>
      <c r="S18" s="17" t="s">
        <v>892</v>
      </c>
      <c r="T18" s="17" t="s">
        <v>892</v>
      </c>
      <c r="U18" s="17" t="s">
        <v>892</v>
      </c>
      <c r="V18" s="17"/>
      <c r="W18" s="17" t="s">
        <v>952</v>
      </c>
      <c r="X18" s="17"/>
      <c r="Y18" s="17"/>
      <c r="Z18" s="17"/>
      <c r="AA18" s="17"/>
      <c r="AB18" s="17"/>
      <c r="AC18" s="17"/>
      <c r="AD18" s="17"/>
      <c r="AE18" s="17"/>
      <c r="AF18" s="17"/>
      <c r="AG18" s="77" t="s">
        <v>16</v>
      </c>
      <c r="AH18" s="17" t="s">
        <v>953</v>
      </c>
      <c r="AI18" s="73"/>
      <c r="AJ18" s="73"/>
      <c r="AK18" s="73"/>
      <c r="AL18" s="73"/>
      <c r="AM18" s="73"/>
    </row>
    <row r="19" spans="1:39" ht="35.25" customHeight="1">
      <c r="A19" s="53" t="s">
        <v>954</v>
      </c>
      <c r="B19" s="53" t="s">
        <v>955</v>
      </c>
      <c r="C19" s="17" t="s">
        <v>956</v>
      </c>
      <c r="D19" s="17" t="s">
        <v>230</v>
      </c>
      <c r="E19" s="17" t="str" cm="1">
        <f t="array" ref="E1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9" s="17" t="s">
        <v>25</v>
      </c>
      <c r="G19" s="17" t="str" cm="1">
        <f t="array" ref="G1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9" s="17" t="s">
        <v>375</v>
      </c>
      <c r="I19" s="17" t="s">
        <v>951</v>
      </c>
      <c r="J19" s="17" t="s">
        <v>413</v>
      </c>
      <c r="K19" s="17" t="s">
        <v>16</v>
      </c>
      <c r="L19" s="17" t="s">
        <v>16</v>
      </c>
      <c r="M19" s="17" t="s">
        <v>16</v>
      </c>
      <c r="N19" s="17" t="s">
        <v>16</v>
      </c>
      <c r="O19" s="17" t="s">
        <v>913</v>
      </c>
      <c r="P19" s="17" t="s">
        <v>891</v>
      </c>
      <c r="Q19" s="17"/>
      <c r="R19" s="17" t="s">
        <v>892</v>
      </c>
      <c r="S19" s="17" t="s">
        <v>892</v>
      </c>
      <c r="T19" s="17" t="s">
        <v>892</v>
      </c>
      <c r="U19" s="17" t="s">
        <v>892</v>
      </c>
      <c r="V19" s="17"/>
      <c r="W19" s="17" t="s">
        <v>856</v>
      </c>
      <c r="X19" s="17"/>
      <c r="Y19" s="17"/>
      <c r="Z19" s="17"/>
      <c r="AA19" s="17"/>
      <c r="AB19" s="17"/>
      <c r="AC19" s="17"/>
      <c r="AD19" s="17"/>
      <c r="AE19" s="17"/>
      <c r="AF19" s="17"/>
      <c r="AG19" s="77" t="s">
        <v>16</v>
      </c>
      <c r="AH19" s="17" t="s">
        <v>953</v>
      </c>
      <c r="AI19" s="73"/>
      <c r="AJ19" s="73"/>
      <c r="AK19" s="73"/>
      <c r="AL19" s="73"/>
      <c r="AM19" s="73"/>
    </row>
    <row r="20" spans="1:39" ht="35.25" customHeight="1">
      <c r="A20" s="53" t="s">
        <v>957</v>
      </c>
      <c r="B20" s="53" t="s">
        <v>958</v>
      </c>
      <c r="C20" s="17" t="s">
        <v>959</v>
      </c>
      <c r="D20" s="17" t="s">
        <v>230</v>
      </c>
      <c r="E20" s="17" t="str" cm="1">
        <f t="array" ref="E2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20" s="17" t="s">
        <v>35</v>
      </c>
      <c r="G20" s="17" t="str" cm="1">
        <f t="array" ref="G2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20" s="17" t="s">
        <v>244</v>
      </c>
      <c r="I20" s="17" t="s">
        <v>960</v>
      </c>
      <c r="J20" s="17" t="s">
        <v>232</v>
      </c>
      <c r="K20" s="17" t="s">
        <v>16</v>
      </c>
      <c r="L20" s="17" t="s">
        <v>16</v>
      </c>
      <c r="M20" s="17" t="s">
        <v>16</v>
      </c>
      <c r="N20" s="17" t="s">
        <v>16</v>
      </c>
      <c r="O20" s="17" t="s">
        <v>892</v>
      </c>
      <c r="P20" s="17" t="s">
        <v>891</v>
      </c>
      <c r="Q20" s="17"/>
      <c r="R20" s="17" t="s">
        <v>892</v>
      </c>
      <c r="S20" s="17" t="s">
        <v>892</v>
      </c>
      <c r="T20" s="17" t="s">
        <v>892</v>
      </c>
      <c r="U20" s="17" t="s">
        <v>892</v>
      </c>
      <c r="V20" s="17"/>
      <c r="W20" s="17" t="s">
        <v>854</v>
      </c>
      <c r="X20" s="17"/>
      <c r="Y20" s="17"/>
      <c r="Z20" s="17"/>
      <c r="AA20" s="17"/>
      <c r="AB20" s="17"/>
      <c r="AC20" s="17"/>
      <c r="AD20" s="17"/>
      <c r="AE20" s="17"/>
      <c r="AF20" s="17"/>
      <c r="AG20" s="77" t="s">
        <v>16</v>
      </c>
      <c r="AH20" s="17" t="s">
        <v>905</v>
      </c>
      <c r="AI20" s="73"/>
      <c r="AJ20" s="73"/>
      <c r="AK20" s="73"/>
      <c r="AL20" s="73"/>
      <c r="AM20" s="73"/>
    </row>
    <row r="21" spans="1:39" ht="35.25" customHeight="1">
      <c r="A21" s="53" t="s">
        <v>961</v>
      </c>
      <c r="B21" s="21" t="s">
        <v>962</v>
      </c>
      <c r="C21" s="17" t="s">
        <v>963</v>
      </c>
      <c r="D21" s="17" t="s">
        <v>230</v>
      </c>
      <c r="E21" s="17" t="str" cm="1">
        <f t="array" ref="E2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21" s="17" t="s">
        <v>239</v>
      </c>
      <c r="G21" s="17" t="str" cm="1">
        <f t="array" ref="G2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21" s="17" t="s">
        <v>375</v>
      </c>
      <c r="I21" s="17" t="s">
        <v>964</v>
      </c>
      <c r="J21" s="17" t="s">
        <v>965</v>
      </c>
      <c r="K21" s="17" t="s">
        <v>16</v>
      </c>
      <c r="L21" s="17" t="s">
        <v>16</v>
      </c>
      <c r="M21" s="17" t="s">
        <v>16</v>
      </c>
      <c r="N21" s="17" t="s">
        <v>16</v>
      </c>
      <c r="O21" s="17" t="s">
        <v>892</v>
      </c>
      <c r="P21" s="17" t="s">
        <v>892</v>
      </c>
      <c r="Q21" s="17"/>
      <c r="R21" s="17" t="s">
        <v>892</v>
      </c>
      <c r="S21" s="17" t="s">
        <v>892</v>
      </c>
      <c r="T21" s="17" t="s">
        <v>892</v>
      </c>
      <c r="U21" s="17" t="s">
        <v>892</v>
      </c>
      <c r="V21" s="17"/>
      <c r="W21" s="17" t="s">
        <v>966</v>
      </c>
      <c r="X21" s="17"/>
      <c r="Y21" s="17"/>
      <c r="Z21" s="17"/>
      <c r="AA21" s="17"/>
      <c r="AB21" s="17"/>
      <c r="AC21" s="17"/>
      <c r="AD21" s="17"/>
      <c r="AE21" s="17"/>
      <c r="AF21" s="17"/>
      <c r="AG21" s="77" t="s">
        <v>16</v>
      </c>
      <c r="AH21" s="17" t="s">
        <v>905</v>
      </c>
      <c r="AI21" s="73"/>
      <c r="AJ21" s="73"/>
      <c r="AK21" s="73"/>
      <c r="AL21" s="73"/>
      <c r="AM21" s="73"/>
    </row>
    <row r="22" spans="1:39" ht="35.25" customHeight="1">
      <c r="A22" s="53" t="s">
        <v>967</v>
      </c>
      <c r="B22" s="78" t="s">
        <v>844</v>
      </c>
      <c r="C22" s="80" t="s">
        <v>845</v>
      </c>
      <c r="D22" s="17" t="s">
        <v>846</v>
      </c>
      <c r="E22" s="17" t="str" cm="1">
        <f t="array" ref="E2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22" s="17" t="s">
        <v>67</v>
      </c>
      <c r="G22" s="17" t="str" cm="1">
        <f t="array" ref="G2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22" s="17" t="s">
        <v>29</v>
      </c>
      <c r="I22" s="17" t="s">
        <v>409</v>
      </c>
      <c r="J22" s="17" t="s">
        <v>410</v>
      </c>
      <c r="K22" s="17" t="s">
        <v>16</v>
      </c>
      <c r="L22" s="17" t="s">
        <v>16</v>
      </c>
      <c r="M22" s="17" t="s">
        <v>16</v>
      </c>
      <c r="N22" s="17" t="s">
        <v>16</v>
      </c>
      <c r="O22" s="17" t="s">
        <v>891</v>
      </c>
      <c r="P22" s="17" t="s">
        <v>892</v>
      </c>
      <c r="Q22" s="17"/>
      <c r="R22" s="17" t="s">
        <v>891</v>
      </c>
      <c r="S22" s="17" t="s">
        <v>891</v>
      </c>
      <c r="T22" s="17" t="s">
        <v>891</v>
      </c>
      <c r="U22" s="17" t="s">
        <v>891</v>
      </c>
      <c r="V22" s="17"/>
      <c r="W22" s="17" t="s">
        <v>854</v>
      </c>
      <c r="X22" s="17"/>
      <c r="Y22" s="17"/>
      <c r="Z22" s="17"/>
      <c r="AA22" s="17"/>
      <c r="AB22" s="17"/>
      <c r="AC22" s="17"/>
      <c r="AD22" s="17"/>
      <c r="AE22" s="17"/>
      <c r="AF22" s="17"/>
      <c r="AG22" s="17"/>
      <c r="AH22" s="17" t="s">
        <v>968</v>
      </c>
    </row>
    <row r="23" spans="1:39" ht="35.25" customHeight="1">
      <c r="A23" s="53" t="s">
        <v>969</v>
      </c>
      <c r="B23" s="78" t="s">
        <v>380</v>
      </c>
      <c r="C23" s="80" t="s">
        <v>637</v>
      </c>
      <c r="D23" s="17" t="s">
        <v>846</v>
      </c>
      <c r="E23" s="17" t="str" cm="1">
        <f t="array" ref="E2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23" s="17" t="s">
        <v>102</v>
      </c>
      <c r="G23" s="17" t="str" cm="1">
        <f t="array" ref="G2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23" s="17" t="s">
        <v>23</v>
      </c>
      <c r="I23" s="17" t="s">
        <v>409</v>
      </c>
      <c r="J23" s="17" t="s">
        <v>413</v>
      </c>
      <c r="K23" s="17" t="s">
        <v>16</v>
      </c>
      <c r="L23" s="17" t="s">
        <v>16</v>
      </c>
      <c r="M23" s="17" t="s">
        <v>16</v>
      </c>
      <c r="N23" s="17" t="s">
        <v>16</v>
      </c>
      <c r="O23" s="17" t="s">
        <v>891</v>
      </c>
      <c r="P23" s="17" t="s">
        <v>892</v>
      </c>
      <c r="Q23" s="17"/>
      <c r="R23" s="17" t="s">
        <v>891</v>
      </c>
      <c r="S23" s="17" t="s">
        <v>891</v>
      </c>
      <c r="T23" s="17" t="s">
        <v>891</v>
      </c>
      <c r="U23" s="17" t="s">
        <v>891</v>
      </c>
      <c r="V23" s="17"/>
      <c r="W23" s="17" t="s">
        <v>856</v>
      </c>
      <c r="X23" s="17"/>
      <c r="Y23" s="17"/>
      <c r="Z23" s="17"/>
      <c r="AA23" s="17"/>
      <c r="AB23" s="17"/>
      <c r="AC23" s="17"/>
      <c r="AD23" s="17"/>
      <c r="AE23" s="17"/>
      <c r="AF23" s="17"/>
      <c r="AG23" s="17"/>
      <c r="AH23" s="17" t="s">
        <v>934</v>
      </c>
    </row>
    <row r="24" spans="1:39" ht="35.25" customHeight="1">
      <c r="A24" s="53" t="s">
        <v>970</v>
      </c>
      <c r="B24" s="78" t="s">
        <v>638</v>
      </c>
      <c r="C24" s="80" t="s">
        <v>639</v>
      </c>
      <c r="D24" s="17" t="s">
        <v>846</v>
      </c>
      <c r="E24" s="17" t="str" cm="1">
        <f t="array" ref="E2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24" s="17" t="s">
        <v>102</v>
      </c>
      <c r="G24" s="17" t="str" cm="1">
        <f t="array" ref="G2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24" s="17" t="s">
        <v>271</v>
      </c>
      <c r="I24" s="17" t="s">
        <v>409</v>
      </c>
      <c r="J24" s="17" t="s">
        <v>413</v>
      </c>
      <c r="K24" s="17" t="s">
        <v>16</v>
      </c>
      <c r="L24" s="17" t="s">
        <v>16</v>
      </c>
      <c r="M24" s="17" t="s">
        <v>16</v>
      </c>
      <c r="N24" s="17" t="s">
        <v>16</v>
      </c>
      <c r="O24" s="17" t="s">
        <v>891</v>
      </c>
      <c r="P24" s="17" t="s">
        <v>892</v>
      </c>
      <c r="Q24" s="17"/>
      <c r="R24" s="17" t="s">
        <v>891</v>
      </c>
      <c r="S24" s="17" t="s">
        <v>891</v>
      </c>
      <c r="T24" s="17" t="s">
        <v>891</v>
      </c>
      <c r="U24" s="17" t="s">
        <v>891</v>
      </c>
      <c r="V24" s="17"/>
      <c r="W24" s="17" t="s">
        <v>856</v>
      </c>
      <c r="X24" s="17"/>
      <c r="Y24" s="17"/>
      <c r="Z24" s="17"/>
      <c r="AA24" s="17"/>
      <c r="AB24" s="17"/>
      <c r="AC24" s="17"/>
      <c r="AD24" s="17"/>
      <c r="AE24" s="17"/>
      <c r="AF24" s="17"/>
      <c r="AG24" s="17"/>
      <c r="AH24" s="17" t="s">
        <v>934</v>
      </c>
    </row>
    <row r="25" spans="1:39" ht="35.25" customHeight="1">
      <c r="A25" s="53" t="s">
        <v>971</v>
      </c>
      <c r="B25" s="78" t="s">
        <v>384</v>
      </c>
      <c r="C25" s="80" t="s">
        <v>640</v>
      </c>
      <c r="D25" s="17" t="s">
        <v>846</v>
      </c>
      <c r="E25" s="17" t="str" cm="1">
        <f t="array" ref="E2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25" s="17" t="s">
        <v>25</v>
      </c>
      <c r="G25" s="17" t="str" cm="1">
        <f t="array" ref="G2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25" s="17" t="s">
        <v>259</v>
      </c>
      <c r="I25" s="17" t="s">
        <v>409</v>
      </c>
      <c r="J25" s="17" t="s">
        <v>232</v>
      </c>
      <c r="K25" s="17" t="s">
        <v>16</v>
      </c>
      <c r="L25" s="17" t="s">
        <v>16</v>
      </c>
      <c r="M25" s="17" t="s">
        <v>16</v>
      </c>
      <c r="N25" s="17" t="s">
        <v>16</v>
      </c>
      <c r="O25" s="17" t="s">
        <v>891</v>
      </c>
      <c r="P25" s="17" t="s">
        <v>891</v>
      </c>
      <c r="Q25" s="17"/>
      <c r="R25" s="17" t="s">
        <v>892</v>
      </c>
      <c r="S25" s="17" t="s">
        <v>892</v>
      </c>
      <c r="T25" s="17" t="s">
        <v>892</v>
      </c>
      <c r="U25" s="17" t="s">
        <v>892</v>
      </c>
      <c r="V25" s="17"/>
      <c r="W25" s="17" t="s">
        <v>854</v>
      </c>
      <c r="X25" s="17"/>
      <c r="Y25" s="17"/>
      <c r="Z25" s="17"/>
      <c r="AA25" s="17"/>
      <c r="AB25" s="17"/>
      <c r="AC25" s="17"/>
      <c r="AD25" s="17"/>
      <c r="AE25" s="17"/>
      <c r="AF25" s="17"/>
      <c r="AG25" s="17"/>
      <c r="AH25" s="17" t="s">
        <v>905</v>
      </c>
    </row>
    <row r="26" spans="1:39" ht="35.25" customHeight="1">
      <c r="A26" s="53" t="s">
        <v>972</v>
      </c>
      <c r="B26" s="78" t="s">
        <v>386</v>
      </c>
      <c r="C26" s="80" t="s">
        <v>641</v>
      </c>
      <c r="D26" s="17" t="s">
        <v>846</v>
      </c>
      <c r="E26" s="17" t="str" cm="1">
        <f t="array" ref="E2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26" s="17" t="s">
        <v>32</v>
      </c>
      <c r="G26" s="17" t="str" cm="1">
        <f t="array" ref="G2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26" s="17" t="s">
        <v>33</v>
      </c>
      <c r="I26" s="17" t="s">
        <v>231</v>
      </c>
      <c r="J26" s="17" t="s">
        <v>232</v>
      </c>
      <c r="K26" s="17" t="s">
        <v>16</v>
      </c>
      <c r="L26" s="17" t="s">
        <v>16</v>
      </c>
      <c r="M26" s="17" t="s">
        <v>16</v>
      </c>
      <c r="N26" s="17" t="s">
        <v>16</v>
      </c>
      <c r="O26" s="17" t="s">
        <v>892</v>
      </c>
      <c r="P26" s="17" t="s">
        <v>892</v>
      </c>
      <c r="Q26" s="17"/>
      <c r="R26" s="17" t="s">
        <v>891</v>
      </c>
      <c r="S26" s="17" t="s">
        <v>891</v>
      </c>
      <c r="T26" s="17" t="s">
        <v>891</v>
      </c>
      <c r="U26" s="17" t="s">
        <v>891</v>
      </c>
      <c r="V26" s="17"/>
      <c r="W26" s="17" t="s">
        <v>854</v>
      </c>
      <c r="X26" s="17"/>
      <c r="Y26" s="17"/>
      <c r="Z26" s="17"/>
      <c r="AA26" s="17"/>
      <c r="AB26" s="17"/>
      <c r="AC26" s="17"/>
      <c r="AD26" s="17"/>
      <c r="AE26" s="17"/>
      <c r="AF26" s="17"/>
      <c r="AG26" s="17"/>
      <c r="AH26" s="17" t="s">
        <v>934</v>
      </c>
    </row>
    <row r="27" spans="1:39" ht="35.25" customHeight="1">
      <c r="A27" s="53" t="s">
        <v>973</v>
      </c>
      <c r="B27" s="78" t="s">
        <v>388</v>
      </c>
      <c r="C27" s="80" t="s">
        <v>642</v>
      </c>
      <c r="D27" s="17" t="s">
        <v>846</v>
      </c>
      <c r="E27" s="17" t="str" cm="1">
        <f t="array" ref="E2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27" s="17" t="s">
        <v>67</v>
      </c>
      <c r="G27" s="17" t="str" cm="1">
        <f t="array" ref="G2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27" s="17" t="s">
        <v>26</v>
      </c>
      <c r="I27" s="17" t="s">
        <v>409</v>
      </c>
      <c r="J27" s="17" t="s">
        <v>232</v>
      </c>
      <c r="K27" s="17" t="s">
        <v>16</v>
      </c>
      <c r="L27" s="17" t="s">
        <v>16</v>
      </c>
      <c r="M27" s="17" t="s">
        <v>16</v>
      </c>
      <c r="N27" s="17" t="s">
        <v>16</v>
      </c>
      <c r="O27" s="17" t="s">
        <v>892</v>
      </c>
      <c r="P27" s="17" t="s">
        <v>891</v>
      </c>
      <c r="Q27" s="17"/>
      <c r="R27" s="17" t="s">
        <v>892</v>
      </c>
      <c r="S27" s="17" t="s">
        <v>892</v>
      </c>
      <c r="T27" s="17" t="s">
        <v>892</v>
      </c>
      <c r="U27" s="17" t="s">
        <v>892</v>
      </c>
      <c r="V27" s="17"/>
      <c r="W27" s="17" t="s">
        <v>854</v>
      </c>
      <c r="X27" s="17"/>
      <c r="Y27" s="17"/>
      <c r="Z27" s="17"/>
      <c r="AA27" s="17"/>
      <c r="AB27" s="17"/>
      <c r="AC27" s="17"/>
      <c r="AD27" s="17"/>
      <c r="AE27" s="17"/>
      <c r="AF27" s="17"/>
      <c r="AG27" s="17"/>
      <c r="AH27" s="17" t="s">
        <v>905</v>
      </c>
    </row>
    <row r="28" spans="1:39" ht="35.25" hidden="1" customHeight="1">
      <c r="A28" s="53" t="s">
        <v>974</v>
      </c>
      <c r="B28" s="21" t="s">
        <v>643</v>
      </c>
      <c r="C28" s="17" t="s">
        <v>644</v>
      </c>
      <c r="D28" s="17" t="s">
        <v>120</v>
      </c>
      <c r="E28" s="17" t="str" cm="1">
        <f t="array" ref="E2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28" s="17" t="s">
        <v>239</v>
      </c>
      <c r="G28" s="17" t="str" cm="1">
        <f t="array" ref="G2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28" s="17" t="s">
        <v>26</v>
      </c>
      <c r="I28" s="17" t="s">
        <v>425</v>
      </c>
      <c r="J28" s="17" t="s">
        <v>357</v>
      </c>
      <c r="K28" s="17" t="s">
        <v>16</v>
      </c>
      <c r="L28" s="17" t="s">
        <v>16</v>
      </c>
      <c r="M28" s="17" t="s">
        <v>16</v>
      </c>
      <c r="N28" s="17" t="s">
        <v>15</v>
      </c>
      <c r="O28" s="17" t="s">
        <v>892</v>
      </c>
      <c r="P28" s="17" t="s">
        <v>892</v>
      </c>
      <c r="Q28" s="17"/>
      <c r="R28" s="17" t="s">
        <v>892</v>
      </c>
      <c r="S28" s="17" t="s">
        <v>892</v>
      </c>
      <c r="T28" s="17" t="s">
        <v>892</v>
      </c>
      <c r="U28" s="17" t="s">
        <v>892</v>
      </c>
      <c r="V28" s="17"/>
      <c r="W28" s="17" t="s">
        <v>854</v>
      </c>
      <c r="X28" s="17"/>
      <c r="Y28" s="17"/>
      <c r="Z28" s="17"/>
      <c r="AA28" s="17"/>
      <c r="AB28" s="17"/>
      <c r="AC28" s="17"/>
      <c r="AD28" s="17"/>
      <c r="AE28" s="17"/>
      <c r="AF28" s="17"/>
      <c r="AG28" s="17"/>
      <c r="AH28" s="17" t="s">
        <v>905</v>
      </c>
    </row>
    <row r="29" spans="1:39" ht="35.25" hidden="1" customHeight="1">
      <c r="A29" s="53" t="s">
        <v>975</v>
      </c>
      <c r="B29" s="21" t="s">
        <v>645</v>
      </c>
      <c r="C29" s="17" t="s">
        <v>646</v>
      </c>
      <c r="D29" s="17" t="s">
        <v>218</v>
      </c>
      <c r="E29" s="17" t="str" cm="1">
        <f t="array" ref="E2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29" s="17" t="s">
        <v>25</v>
      </c>
      <c r="G29" s="17" t="str" cm="1">
        <f t="array" ref="G2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29" s="17" t="s">
        <v>259</v>
      </c>
      <c r="I29" s="17" t="s">
        <v>425</v>
      </c>
      <c r="J29" s="17" t="s">
        <v>357</v>
      </c>
      <c r="K29" s="17" t="s">
        <v>16</v>
      </c>
      <c r="L29" s="17" t="s">
        <v>15</v>
      </c>
      <c r="M29" s="17" t="s">
        <v>15</v>
      </c>
      <c r="N29" s="17" t="s">
        <v>15</v>
      </c>
      <c r="O29" s="17" t="s">
        <v>891</v>
      </c>
      <c r="P29" s="17" t="s">
        <v>891</v>
      </c>
      <c r="Q29" s="17"/>
      <c r="R29" s="17" t="s">
        <v>892</v>
      </c>
      <c r="S29" s="17" t="s">
        <v>892</v>
      </c>
      <c r="T29" s="17" t="s">
        <v>892</v>
      </c>
      <c r="U29" s="17" t="s">
        <v>892</v>
      </c>
      <c r="V29" s="17"/>
      <c r="W29" s="17" t="s">
        <v>854</v>
      </c>
      <c r="X29" s="17"/>
      <c r="Y29" s="17"/>
      <c r="Z29" s="17"/>
      <c r="AA29" s="17"/>
      <c r="AB29" s="17"/>
      <c r="AC29" s="17"/>
      <c r="AD29" s="17"/>
      <c r="AE29" s="17"/>
      <c r="AF29" s="17"/>
      <c r="AG29" s="17"/>
      <c r="AH29" s="17" t="s">
        <v>905</v>
      </c>
    </row>
    <row r="30" spans="1:39" ht="35.25" hidden="1" customHeight="1">
      <c r="A30" s="53" t="s">
        <v>976</v>
      </c>
      <c r="B30" s="21" t="s">
        <v>977</v>
      </c>
      <c r="C30" s="17" t="s">
        <v>648</v>
      </c>
      <c r="D30" s="17" t="s">
        <v>218</v>
      </c>
      <c r="E30" s="17" t="str" cm="1">
        <f t="array" ref="E3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30" s="17" t="s">
        <v>32</v>
      </c>
      <c r="G30" s="17" t="str" cm="1">
        <f t="array" ref="G3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30" s="17" t="s">
        <v>26</v>
      </c>
      <c r="I30" s="17" t="s">
        <v>425</v>
      </c>
      <c r="J30" s="17" t="s">
        <v>944</v>
      </c>
      <c r="K30" s="17" t="s">
        <v>16</v>
      </c>
      <c r="L30" s="17" t="s">
        <v>16</v>
      </c>
      <c r="M30" s="17" t="s">
        <v>15</v>
      </c>
      <c r="N30" s="17" t="s">
        <v>15</v>
      </c>
      <c r="O30" s="17" t="s">
        <v>892</v>
      </c>
      <c r="P30" s="17" t="s">
        <v>892</v>
      </c>
      <c r="Q30" s="17"/>
      <c r="R30" s="17" t="s">
        <v>892</v>
      </c>
      <c r="S30" s="17" t="s">
        <v>892</v>
      </c>
      <c r="T30" s="17" t="s">
        <v>892</v>
      </c>
      <c r="U30" s="17" t="s">
        <v>892</v>
      </c>
      <c r="V30" s="17"/>
      <c r="W30" s="17" t="s">
        <v>978</v>
      </c>
      <c r="X30" s="17"/>
      <c r="Y30" s="17"/>
      <c r="Z30" s="17"/>
      <c r="AA30" s="17"/>
      <c r="AB30" s="17"/>
      <c r="AC30" s="17"/>
      <c r="AD30" s="17"/>
      <c r="AE30" s="17"/>
      <c r="AF30" s="17"/>
      <c r="AG30" s="17"/>
      <c r="AH30" s="17" t="s">
        <v>905</v>
      </c>
    </row>
    <row r="31" spans="1:39" ht="35.25" hidden="1" customHeight="1">
      <c r="A31" s="53" t="s">
        <v>979</v>
      </c>
      <c r="B31" s="21" t="s">
        <v>980</v>
      </c>
      <c r="C31" s="17" t="s">
        <v>650</v>
      </c>
      <c r="D31" s="17" t="s">
        <v>218</v>
      </c>
      <c r="E31" s="17" t="str" cm="1">
        <f t="array" ref="E3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31" s="17" t="s">
        <v>35</v>
      </c>
      <c r="G31" s="17" t="str" cm="1">
        <f t="array" ref="G3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31" s="17" t="s">
        <v>23</v>
      </c>
      <c r="I31" s="17" t="s">
        <v>425</v>
      </c>
      <c r="J31" s="17" t="s">
        <v>357</v>
      </c>
      <c r="K31" s="17" t="s">
        <v>16</v>
      </c>
      <c r="L31" s="17" t="s">
        <v>16</v>
      </c>
      <c r="M31" s="17" t="s">
        <v>15</v>
      </c>
      <c r="N31" s="17" t="s">
        <v>15</v>
      </c>
      <c r="O31" s="17" t="s">
        <v>892</v>
      </c>
      <c r="P31" s="17" t="s">
        <v>892</v>
      </c>
      <c r="Q31" s="17"/>
      <c r="R31" s="17" t="s">
        <v>891</v>
      </c>
      <c r="S31" s="17" t="s">
        <v>891</v>
      </c>
      <c r="T31" s="17" t="s">
        <v>891</v>
      </c>
      <c r="U31" s="17" t="s">
        <v>891</v>
      </c>
      <c r="V31" s="17"/>
      <c r="W31" s="17" t="s">
        <v>952</v>
      </c>
      <c r="X31" s="17"/>
      <c r="Y31" s="17"/>
      <c r="Z31" s="17"/>
      <c r="AA31" s="17"/>
      <c r="AB31" s="17"/>
      <c r="AC31" s="17"/>
      <c r="AD31" s="17"/>
      <c r="AE31" s="17"/>
      <c r="AF31" s="17"/>
      <c r="AG31" s="17"/>
      <c r="AH31" s="17" t="s">
        <v>968</v>
      </c>
    </row>
    <row r="32" spans="1:39" ht="35.25" hidden="1" customHeight="1">
      <c r="A32" s="53" t="s">
        <v>981</v>
      </c>
      <c r="B32" s="21" t="s">
        <v>982</v>
      </c>
      <c r="C32" s="17" t="s">
        <v>652</v>
      </c>
      <c r="D32" s="17" t="s">
        <v>218</v>
      </c>
      <c r="E32" s="17" t="str" cm="1">
        <f t="array" ref="E3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32" s="17" t="s">
        <v>25</v>
      </c>
      <c r="G32" s="17" t="str" cm="1">
        <f t="array" ref="G3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32" s="17" t="s">
        <v>244</v>
      </c>
      <c r="I32" s="17" t="s">
        <v>425</v>
      </c>
      <c r="J32" s="17" t="s">
        <v>357</v>
      </c>
      <c r="K32" s="17" t="s">
        <v>16</v>
      </c>
      <c r="L32" s="17" t="s">
        <v>16</v>
      </c>
      <c r="M32" s="17" t="s">
        <v>15</v>
      </c>
      <c r="N32" s="17" t="s">
        <v>15</v>
      </c>
      <c r="O32" s="17" t="s">
        <v>891</v>
      </c>
      <c r="P32" s="17" t="s">
        <v>913</v>
      </c>
      <c r="Q32" s="17"/>
      <c r="R32" s="17" t="s">
        <v>892</v>
      </c>
      <c r="S32" s="17" t="s">
        <v>892</v>
      </c>
      <c r="T32" s="17" t="s">
        <v>892</v>
      </c>
      <c r="U32" s="17" t="s">
        <v>892</v>
      </c>
      <c r="V32" s="17"/>
      <c r="W32" s="17" t="s">
        <v>978</v>
      </c>
      <c r="X32" s="17"/>
      <c r="Y32" s="17"/>
      <c r="Z32" s="17"/>
      <c r="AA32" s="17"/>
      <c r="AB32" s="17"/>
      <c r="AC32" s="17"/>
      <c r="AD32" s="17"/>
      <c r="AE32" s="17"/>
      <c r="AF32" s="17"/>
      <c r="AG32" s="17"/>
      <c r="AH32" s="17" t="s">
        <v>905</v>
      </c>
    </row>
    <row r="33" spans="1:34" ht="35.25" hidden="1" customHeight="1">
      <c r="A33" s="53" t="s">
        <v>983</v>
      </c>
      <c r="B33" s="21" t="s">
        <v>984</v>
      </c>
      <c r="C33" s="17" t="s">
        <v>654</v>
      </c>
      <c r="D33" s="17" t="s">
        <v>218</v>
      </c>
      <c r="E33" s="17" t="str" cm="1">
        <f t="array" ref="E3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33" s="17" t="s">
        <v>35</v>
      </c>
      <c r="G33" s="17" t="str" cm="1">
        <f t="array" ref="G3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33" s="17" t="s">
        <v>283</v>
      </c>
      <c r="I33" s="17" t="s">
        <v>425</v>
      </c>
      <c r="J33" s="17" t="s">
        <v>357</v>
      </c>
      <c r="K33" s="17" t="s">
        <v>16</v>
      </c>
      <c r="L33" s="17" t="s">
        <v>16</v>
      </c>
      <c r="M33" s="17" t="s">
        <v>16</v>
      </c>
      <c r="N33" s="17" t="s">
        <v>15</v>
      </c>
      <c r="O33" s="17" t="s">
        <v>892</v>
      </c>
      <c r="P33" s="17" t="s">
        <v>892</v>
      </c>
      <c r="Q33" s="17"/>
      <c r="R33" s="17" t="s">
        <v>892</v>
      </c>
      <c r="S33" s="17" t="s">
        <v>892</v>
      </c>
      <c r="T33" s="17" t="s">
        <v>892</v>
      </c>
      <c r="U33" s="17" t="s">
        <v>892</v>
      </c>
      <c r="V33" s="17"/>
      <c r="W33" s="17" t="s">
        <v>854</v>
      </c>
      <c r="X33" s="17"/>
      <c r="Y33" s="17"/>
      <c r="Z33" s="17"/>
      <c r="AA33" s="17"/>
      <c r="AB33" s="17"/>
      <c r="AC33" s="17"/>
      <c r="AD33" s="17"/>
      <c r="AE33" s="17"/>
      <c r="AF33" s="17"/>
      <c r="AG33" s="17"/>
      <c r="AH33" s="17" t="s">
        <v>905</v>
      </c>
    </row>
    <row r="34" spans="1:34" ht="35.25" hidden="1" customHeight="1">
      <c r="A34" s="53" t="s">
        <v>985</v>
      </c>
      <c r="B34" s="21" t="s">
        <v>986</v>
      </c>
      <c r="C34" s="17" t="s">
        <v>656</v>
      </c>
      <c r="D34" s="17" t="s">
        <v>218</v>
      </c>
      <c r="E34" s="17" t="str" cm="1">
        <f t="array" ref="E3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34" s="17" t="s">
        <v>32</v>
      </c>
      <c r="G34" s="17" t="str" cm="1">
        <f t="array" ref="G3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34" s="17" t="s">
        <v>33</v>
      </c>
      <c r="I34" s="17" t="s">
        <v>425</v>
      </c>
      <c r="J34" s="17" t="s">
        <v>341</v>
      </c>
      <c r="K34" s="17" t="s">
        <v>16</v>
      </c>
      <c r="L34" s="17" t="s">
        <v>16</v>
      </c>
      <c r="M34" s="17" t="s">
        <v>16</v>
      </c>
      <c r="N34" s="17" t="s">
        <v>15</v>
      </c>
      <c r="O34" s="17" t="s">
        <v>892</v>
      </c>
      <c r="P34" s="17" t="s">
        <v>892</v>
      </c>
      <c r="Q34" s="17"/>
      <c r="R34" s="17" t="s">
        <v>892</v>
      </c>
      <c r="S34" s="17" t="s">
        <v>892</v>
      </c>
      <c r="T34" s="17" t="s">
        <v>892</v>
      </c>
      <c r="U34" s="17" t="s">
        <v>892</v>
      </c>
      <c r="V34" s="17"/>
      <c r="W34" s="17" t="s">
        <v>987</v>
      </c>
      <c r="X34" s="17"/>
      <c r="Y34" s="17"/>
      <c r="Z34" s="17"/>
      <c r="AA34" s="17"/>
      <c r="AB34" s="17"/>
      <c r="AC34" s="17"/>
      <c r="AD34" s="17"/>
      <c r="AE34" s="17"/>
      <c r="AF34" s="17"/>
      <c r="AG34" s="17"/>
      <c r="AH34" s="17" t="s">
        <v>988</v>
      </c>
    </row>
    <row r="35" spans="1:34" ht="35.25" hidden="1" customHeight="1">
      <c r="A35" s="53" t="s">
        <v>989</v>
      </c>
      <c r="B35" s="21" t="s">
        <v>657</v>
      </c>
      <c r="C35" s="17" t="s">
        <v>658</v>
      </c>
      <c r="D35" s="17" t="s">
        <v>218</v>
      </c>
      <c r="E35" s="17" t="str" cm="1">
        <f t="array" ref="E3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35" s="17" t="s">
        <v>35</v>
      </c>
      <c r="G35" s="17" t="str" cm="1">
        <f t="array" ref="G3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35" s="17" t="s">
        <v>14</v>
      </c>
      <c r="I35" s="17" t="s">
        <v>425</v>
      </c>
      <c r="J35" s="17" t="s">
        <v>357</v>
      </c>
      <c r="K35" s="17" t="s">
        <v>15</v>
      </c>
      <c r="L35" s="17" t="s">
        <v>16</v>
      </c>
      <c r="M35" s="17" t="s">
        <v>16</v>
      </c>
      <c r="N35" s="17" t="s">
        <v>15</v>
      </c>
      <c r="O35" s="17" t="s">
        <v>891</v>
      </c>
      <c r="P35" s="17" t="s">
        <v>891</v>
      </c>
      <c r="Q35" s="17"/>
      <c r="R35" s="17" t="s">
        <v>892</v>
      </c>
      <c r="S35" s="17" t="s">
        <v>892</v>
      </c>
      <c r="T35" s="17" t="s">
        <v>892</v>
      </c>
      <c r="U35" s="17" t="s">
        <v>892</v>
      </c>
      <c r="V35" s="17"/>
      <c r="W35" s="17" t="s">
        <v>856</v>
      </c>
      <c r="X35" s="17"/>
      <c r="Y35" s="17"/>
      <c r="Z35" s="17"/>
      <c r="AA35" s="17"/>
      <c r="AB35" s="17"/>
      <c r="AC35" s="17"/>
      <c r="AD35" s="17"/>
      <c r="AE35" s="17"/>
      <c r="AF35" s="17"/>
      <c r="AG35" s="17"/>
      <c r="AH35" s="17" t="s">
        <v>905</v>
      </c>
    </row>
    <row r="36" spans="1:34" ht="35.25" hidden="1" customHeight="1">
      <c r="A36" s="53" t="s">
        <v>990</v>
      </c>
      <c r="B36" s="21" t="s">
        <v>991</v>
      </c>
      <c r="C36" s="17" t="s">
        <v>992</v>
      </c>
      <c r="D36" s="17" t="s">
        <v>364</v>
      </c>
      <c r="E36" s="17" t="str" cm="1">
        <f t="array" ref="E3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36" s="17" t="s">
        <v>35</v>
      </c>
      <c r="G36" s="17" t="str" cm="1">
        <f t="array" ref="G3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36" s="17" t="s">
        <v>14</v>
      </c>
      <c r="I36" s="17" t="s">
        <v>231</v>
      </c>
      <c r="J36" s="17" t="s">
        <v>364</v>
      </c>
      <c r="K36" s="17" t="s">
        <v>15</v>
      </c>
      <c r="L36" s="17" t="s">
        <v>16</v>
      </c>
      <c r="M36" s="17" t="s">
        <v>16</v>
      </c>
      <c r="N36" s="17" t="s">
        <v>15</v>
      </c>
      <c r="O36" s="17" t="s">
        <v>892</v>
      </c>
      <c r="P36" s="17" t="s">
        <v>892</v>
      </c>
      <c r="Q36" s="17"/>
      <c r="R36" s="17" t="s">
        <v>892</v>
      </c>
      <c r="S36" s="17" t="s">
        <v>892</v>
      </c>
      <c r="T36" s="17" t="s">
        <v>892</v>
      </c>
      <c r="U36" s="17" t="s">
        <v>892</v>
      </c>
      <c r="V36" s="17"/>
      <c r="W36" s="17" t="s">
        <v>993</v>
      </c>
      <c r="X36" s="17"/>
      <c r="Y36" s="17"/>
      <c r="Z36" s="17"/>
      <c r="AA36" s="17"/>
      <c r="AB36" s="17"/>
      <c r="AC36" s="17"/>
      <c r="AD36" s="17"/>
      <c r="AE36" s="17"/>
      <c r="AF36" s="17"/>
      <c r="AG36" s="17"/>
      <c r="AH36" s="17" t="s">
        <v>905</v>
      </c>
    </row>
    <row r="37" spans="1:34" ht="35.25" hidden="1" customHeight="1">
      <c r="A37" s="53" t="s">
        <v>994</v>
      </c>
      <c r="B37" s="21" t="s">
        <v>995</v>
      </c>
      <c r="C37" s="17" t="s">
        <v>996</v>
      </c>
      <c r="D37" s="17" t="s">
        <v>364</v>
      </c>
      <c r="E37" s="17" t="str" cm="1">
        <f t="array" ref="E3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37" s="17" t="s">
        <v>35</v>
      </c>
      <c r="G37" s="17" t="str" cm="1">
        <f t="array" ref="G3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37" s="17" t="s">
        <v>375</v>
      </c>
      <c r="I37" s="17" t="s">
        <v>231</v>
      </c>
      <c r="J37" s="17" t="s">
        <v>364</v>
      </c>
      <c r="K37" s="17" t="s">
        <v>15</v>
      </c>
      <c r="L37" s="17" t="s">
        <v>16</v>
      </c>
      <c r="M37" s="17" t="s">
        <v>16</v>
      </c>
      <c r="N37" s="17" t="s">
        <v>15</v>
      </c>
      <c r="O37" s="17" t="s">
        <v>892</v>
      </c>
      <c r="P37" s="17" t="s">
        <v>892</v>
      </c>
      <c r="Q37" s="17"/>
      <c r="R37" s="17" t="s">
        <v>892</v>
      </c>
      <c r="S37" s="17" t="s">
        <v>892</v>
      </c>
      <c r="T37" s="17" t="s">
        <v>892</v>
      </c>
      <c r="U37" s="17" t="s">
        <v>892</v>
      </c>
      <c r="V37" s="17"/>
      <c r="W37" s="17" t="s">
        <v>993</v>
      </c>
      <c r="X37" s="17"/>
      <c r="Y37" s="17"/>
      <c r="Z37" s="17"/>
      <c r="AA37" s="61"/>
      <c r="AB37" s="17"/>
      <c r="AC37" s="17"/>
      <c r="AD37" s="17"/>
      <c r="AE37" s="17"/>
      <c r="AF37" s="17"/>
      <c r="AG37" s="17"/>
      <c r="AH37" s="17" t="s">
        <v>905</v>
      </c>
    </row>
    <row r="38" spans="1:34" ht="35.25" customHeight="1">
      <c r="A38" s="53" t="s">
        <v>997</v>
      </c>
      <c r="B38" s="21" t="s">
        <v>998</v>
      </c>
      <c r="C38" s="17" t="s">
        <v>999</v>
      </c>
      <c r="D38" s="17" t="s">
        <v>1000</v>
      </c>
      <c r="E38" s="17" t="str" cm="1">
        <f t="array" ref="E3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38" s="17" t="s">
        <v>32</v>
      </c>
      <c r="G38" s="17" t="str" cm="1">
        <f t="array" ref="G3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38" s="17" t="s">
        <v>375</v>
      </c>
      <c r="I38" s="17" t="s">
        <v>943</v>
      </c>
      <c r="J38" s="17" t="s">
        <v>944</v>
      </c>
      <c r="K38" s="17" t="s">
        <v>16</v>
      </c>
      <c r="L38" s="17" t="s">
        <v>16</v>
      </c>
      <c r="M38" s="17" t="s">
        <v>16</v>
      </c>
      <c r="N38" s="17" t="s">
        <v>16</v>
      </c>
      <c r="O38" s="17" t="s">
        <v>892</v>
      </c>
      <c r="P38" s="17" t="s">
        <v>891</v>
      </c>
      <c r="Q38" s="17"/>
      <c r="R38" s="17" t="s">
        <v>892</v>
      </c>
      <c r="S38" s="17" t="s">
        <v>892</v>
      </c>
      <c r="T38" s="17" t="s">
        <v>892</v>
      </c>
      <c r="U38" s="17" t="s">
        <v>892</v>
      </c>
      <c r="V38" s="17"/>
      <c r="W38" s="17" t="s">
        <v>966</v>
      </c>
      <c r="X38" s="17"/>
      <c r="Y38" s="17"/>
      <c r="Z38" s="17"/>
      <c r="AA38" s="17"/>
      <c r="AB38" s="17"/>
      <c r="AC38" s="17"/>
      <c r="AD38" s="17"/>
      <c r="AE38" s="17"/>
      <c r="AF38" s="17"/>
      <c r="AG38" s="17"/>
      <c r="AH38" s="17" t="s">
        <v>905</v>
      </c>
    </row>
    <row r="39" spans="1:34" ht="35.25" customHeight="1">
      <c r="A39" s="53" t="s">
        <v>1001</v>
      </c>
      <c r="B39" s="21" t="s">
        <v>1002</v>
      </c>
      <c r="C39" s="17" t="s">
        <v>1003</v>
      </c>
      <c r="D39" s="17" t="s">
        <v>1000</v>
      </c>
      <c r="E39" s="17" t="str" cm="1">
        <f t="array" ref="E3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39" s="17" t="s">
        <v>239</v>
      </c>
      <c r="G39" s="17" t="str" cm="1">
        <f t="array" ref="G3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39" s="17" t="s">
        <v>375</v>
      </c>
      <c r="I39" s="17" t="s">
        <v>943</v>
      </c>
      <c r="J39" s="17" t="s">
        <v>944</v>
      </c>
      <c r="K39" s="17" t="s">
        <v>16</v>
      </c>
      <c r="L39" s="17" t="s">
        <v>16</v>
      </c>
      <c r="M39" s="17" t="s">
        <v>16</v>
      </c>
      <c r="N39" s="17" t="s">
        <v>16</v>
      </c>
      <c r="O39" s="17" t="s">
        <v>892</v>
      </c>
      <c r="P39" s="17" t="s">
        <v>892</v>
      </c>
      <c r="Q39" s="17"/>
      <c r="R39" s="17" t="s">
        <v>892</v>
      </c>
      <c r="S39" s="17" t="s">
        <v>892</v>
      </c>
      <c r="T39" s="17" t="s">
        <v>892</v>
      </c>
      <c r="U39" s="17" t="s">
        <v>892</v>
      </c>
      <c r="V39" s="17"/>
      <c r="W39" s="17" t="s">
        <v>966</v>
      </c>
      <c r="X39" s="17"/>
      <c r="Y39" s="17"/>
      <c r="Z39" s="17"/>
      <c r="AA39" s="17"/>
      <c r="AB39" s="17"/>
      <c r="AC39" s="17"/>
      <c r="AD39" s="17"/>
      <c r="AE39" s="17"/>
      <c r="AF39" s="17"/>
      <c r="AG39" s="17"/>
      <c r="AH39" s="17" t="s">
        <v>905</v>
      </c>
    </row>
    <row r="40" spans="1:34" ht="35.25" customHeight="1">
      <c r="A40" s="53" t="s">
        <v>1004</v>
      </c>
      <c r="B40" s="21" t="s">
        <v>115</v>
      </c>
      <c r="C40" s="17" t="s">
        <v>659</v>
      </c>
      <c r="D40" s="17" t="s">
        <v>252</v>
      </c>
      <c r="E40" s="17" t="str" cm="1">
        <f t="array" ref="E4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Contenção</v>
      </c>
      <c r="F40" s="17" t="s">
        <v>20</v>
      </c>
      <c r="G40" s="17" t="str" cm="1">
        <f t="array" ref="G4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40" s="17" t="s">
        <v>308</v>
      </c>
      <c r="I40" s="17" t="s">
        <v>943</v>
      </c>
      <c r="J40" s="17" t="s">
        <v>232</v>
      </c>
      <c r="K40" s="17" t="s">
        <v>16</v>
      </c>
      <c r="L40" s="17" t="s">
        <v>16</v>
      </c>
      <c r="M40" s="17" t="s">
        <v>16</v>
      </c>
      <c r="N40" s="17" t="s">
        <v>16</v>
      </c>
      <c r="O40" s="17" t="s">
        <v>892</v>
      </c>
      <c r="P40" s="17" t="s">
        <v>891</v>
      </c>
      <c r="Q40" s="17"/>
      <c r="R40" s="17" t="s">
        <v>892</v>
      </c>
      <c r="S40" s="17" t="s">
        <v>892</v>
      </c>
      <c r="T40" s="17" t="s">
        <v>892</v>
      </c>
      <c r="U40" s="17" t="s">
        <v>892</v>
      </c>
      <c r="V40" s="17"/>
      <c r="W40" s="17" t="s">
        <v>1005</v>
      </c>
      <c r="X40" s="17"/>
      <c r="Y40" s="17"/>
      <c r="Z40" s="17"/>
      <c r="AA40" s="17"/>
      <c r="AB40" s="17"/>
      <c r="AC40" s="17"/>
      <c r="AD40" s="17"/>
      <c r="AE40" s="17"/>
      <c r="AF40" s="17"/>
      <c r="AG40" s="17"/>
      <c r="AH40" s="17" t="s">
        <v>905</v>
      </c>
    </row>
    <row r="41" spans="1:34" ht="35.25" customHeight="1">
      <c r="A41" s="53" t="s">
        <v>1006</v>
      </c>
      <c r="B41" s="21" t="s">
        <v>1007</v>
      </c>
      <c r="C41" s="17" t="s">
        <v>661</v>
      </c>
      <c r="D41" s="17" t="s">
        <v>252</v>
      </c>
      <c r="E41" s="17" t="str" cm="1">
        <f t="array" ref="E4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41" s="17" t="s">
        <v>239</v>
      </c>
      <c r="G41" s="17" t="str" cm="1">
        <f t="array" ref="G4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41" s="17" t="s">
        <v>14</v>
      </c>
      <c r="I41" s="17" t="s">
        <v>943</v>
      </c>
      <c r="J41" s="17" t="s">
        <v>232</v>
      </c>
      <c r="K41" s="17" t="s">
        <v>16</v>
      </c>
      <c r="L41" s="17" t="s">
        <v>16</v>
      </c>
      <c r="M41" s="17" t="s">
        <v>16</v>
      </c>
      <c r="N41" s="17" t="s">
        <v>16</v>
      </c>
      <c r="O41" s="17" t="s">
        <v>892</v>
      </c>
      <c r="P41" s="17" t="s">
        <v>892</v>
      </c>
      <c r="Q41" s="17"/>
      <c r="R41" s="17" t="s">
        <v>892</v>
      </c>
      <c r="S41" s="17" t="s">
        <v>892</v>
      </c>
      <c r="T41" s="17" t="s">
        <v>892</v>
      </c>
      <c r="U41" s="17" t="s">
        <v>892</v>
      </c>
      <c r="V41" s="17"/>
      <c r="W41" s="17" t="s">
        <v>1005</v>
      </c>
      <c r="X41" s="17"/>
      <c r="Y41" s="17"/>
      <c r="Z41" s="17"/>
      <c r="AA41" s="17"/>
      <c r="AB41" s="17"/>
      <c r="AC41" s="17"/>
      <c r="AD41" s="17"/>
      <c r="AE41" s="17"/>
      <c r="AF41" s="17"/>
      <c r="AG41" s="17"/>
      <c r="AH41" s="17" t="s">
        <v>905</v>
      </c>
    </row>
    <row r="42" spans="1:34" ht="35.25" customHeight="1">
      <c r="A42" s="53" t="s">
        <v>1008</v>
      </c>
      <c r="B42" s="21" t="s">
        <v>1009</v>
      </c>
      <c r="C42" s="17" t="s">
        <v>663</v>
      </c>
      <c r="D42" s="17" t="s">
        <v>252</v>
      </c>
      <c r="E42" s="17" t="str" cm="1">
        <f t="array" ref="E4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42" s="17" t="s">
        <v>239</v>
      </c>
      <c r="G42" s="17" t="str" cm="1">
        <f t="array" ref="G4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42" s="17" t="s">
        <v>14</v>
      </c>
      <c r="I42" s="17" t="s">
        <v>943</v>
      </c>
      <c r="J42" s="17" t="s">
        <v>232</v>
      </c>
      <c r="K42" s="17" t="s">
        <v>16</v>
      </c>
      <c r="L42" s="17" t="s">
        <v>16</v>
      </c>
      <c r="M42" s="17" t="s">
        <v>16</v>
      </c>
      <c r="N42" s="17" t="s">
        <v>16</v>
      </c>
      <c r="O42" s="17" t="s">
        <v>892</v>
      </c>
      <c r="P42" s="17" t="s">
        <v>892</v>
      </c>
      <c r="Q42" s="17"/>
      <c r="R42" s="17" t="s">
        <v>892</v>
      </c>
      <c r="S42" s="17" t="s">
        <v>892</v>
      </c>
      <c r="T42" s="17" t="s">
        <v>892</v>
      </c>
      <c r="U42" s="17" t="s">
        <v>892</v>
      </c>
      <c r="V42" s="17"/>
      <c r="W42" s="17" t="s">
        <v>1005</v>
      </c>
      <c r="X42" s="17"/>
      <c r="Y42" s="17"/>
      <c r="Z42" s="17"/>
      <c r="AA42" s="17"/>
      <c r="AB42" s="17"/>
      <c r="AC42" s="17"/>
      <c r="AD42" s="17"/>
      <c r="AE42" s="17"/>
      <c r="AF42" s="17"/>
      <c r="AG42" s="17"/>
      <c r="AH42" s="17" t="s">
        <v>905</v>
      </c>
    </row>
    <row r="43" spans="1:34" ht="35.25" customHeight="1">
      <c r="A43" s="53" t="s">
        <v>1010</v>
      </c>
      <c r="B43" s="21" t="s">
        <v>664</v>
      </c>
      <c r="C43" s="17" t="s">
        <v>665</v>
      </c>
      <c r="D43" s="17" t="s">
        <v>252</v>
      </c>
      <c r="E43" s="17" t="str" cm="1">
        <f t="array" ref="E4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43" s="17" t="s">
        <v>32</v>
      </c>
      <c r="G43" s="17" t="str" cm="1">
        <f t="array" ref="G4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43" s="17" t="s">
        <v>375</v>
      </c>
      <c r="I43" s="17" t="s">
        <v>943</v>
      </c>
      <c r="J43" s="17" t="s">
        <v>232</v>
      </c>
      <c r="K43" s="17" t="s">
        <v>16</v>
      </c>
      <c r="L43" s="17" t="s">
        <v>16</v>
      </c>
      <c r="M43" s="17" t="s">
        <v>16</v>
      </c>
      <c r="N43" s="17" t="s">
        <v>16</v>
      </c>
      <c r="O43" s="17" t="s">
        <v>892</v>
      </c>
      <c r="P43" s="17" t="s">
        <v>892</v>
      </c>
      <c r="Q43" s="17"/>
      <c r="R43" s="17" t="s">
        <v>892</v>
      </c>
      <c r="S43" s="17" t="s">
        <v>892</v>
      </c>
      <c r="T43" s="17" t="s">
        <v>892</v>
      </c>
      <c r="U43" s="17" t="s">
        <v>892</v>
      </c>
      <c r="V43" s="17"/>
      <c r="W43" s="17" t="s">
        <v>1005</v>
      </c>
      <c r="X43" s="17"/>
      <c r="Y43" s="17"/>
      <c r="Z43" s="17"/>
      <c r="AA43" s="17"/>
      <c r="AB43" s="17"/>
      <c r="AC43" s="17"/>
      <c r="AD43" s="17"/>
      <c r="AE43" s="17"/>
      <c r="AF43" s="17"/>
      <c r="AG43" s="17"/>
      <c r="AH43" s="17" t="s">
        <v>905</v>
      </c>
    </row>
    <row r="44" spans="1:34" ht="35.25" customHeight="1">
      <c r="A44" s="53" t="s">
        <v>1011</v>
      </c>
      <c r="B44" s="21" t="s">
        <v>1012</v>
      </c>
      <c r="C44" s="17" t="s">
        <v>667</v>
      </c>
      <c r="D44" s="17" t="s">
        <v>252</v>
      </c>
      <c r="E44" s="17" t="str" cm="1">
        <f t="array" ref="E4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44" s="17" t="s">
        <v>22</v>
      </c>
      <c r="G44" s="17" t="str" cm="1">
        <f t="array" ref="G4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44" s="17" t="s">
        <v>244</v>
      </c>
      <c r="I44" s="17" t="s">
        <v>943</v>
      </c>
      <c r="J44" s="17" t="s">
        <v>232</v>
      </c>
      <c r="K44" s="17" t="s">
        <v>16</v>
      </c>
      <c r="L44" s="17" t="s">
        <v>16</v>
      </c>
      <c r="M44" s="17" t="s">
        <v>16</v>
      </c>
      <c r="N44" s="17" t="s">
        <v>16</v>
      </c>
      <c r="O44" s="17" t="s">
        <v>892</v>
      </c>
      <c r="P44" s="17" t="s">
        <v>892</v>
      </c>
      <c r="Q44" s="17"/>
      <c r="R44" s="17" t="s">
        <v>892</v>
      </c>
      <c r="S44" s="17" t="s">
        <v>892</v>
      </c>
      <c r="T44" s="17" t="s">
        <v>892</v>
      </c>
      <c r="U44" s="17" t="s">
        <v>892</v>
      </c>
      <c r="V44" s="17"/>
      <c r="W44" s="17" t="s">
        <v>1005</v>
      </c>
      <c r="X44" s="17"/>
      <c r="Y44" s="17"/>
      <c r="Z44" s="17"/>
      <c r="AA44" s="17"/>
      <c r="AB44" s="17"/>
      <c r="AC44" s="17"/>
      <c r="AD44" s="17"/>
      <c r="AE44" s="17"/>
      <c r="AF44" s="17"/>
      <c r="AG44" s="17"/>
      <c r="AH44" s="17" t="s">
        <v>905</v>
      </c>
    </row>
    <row r="45" spans="1:34" ht="35.25" customHeight="1">
      <c r="A45" s="53" t="s">
        <v>1013</v>
      </c>
      <c r="B45" s="21" t="s">
        <v>668</v>
      </c>
      <c r="C45" s="17" t="s">
        <v>669</v>
      </c>
      <c r="D45" s="17" t="s">
        <v>252</v>
      </c>
      <c r="E45" s="17" t="str" cm="1">
        <f t="array" ref="E4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45" s="17" t="s">
        <v>22</v>
      </c>
      <c r="G45" s="17" t="str" cm="1">
        <f t="array" ref="G4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45" s="17" t="s">
        <v>14</v>
      </c>
      <c r="I45" s="17" t="s">
        <v>943</v>
      </c>
      <c r="J45" s="17" t="s">
        <v>232</v>
      </c>
      <c r="K45" s="17" t="s">
        <v>16</v>
      </c>
      <c r="L45" s="17" t="s">
        <v>16</v>
      </c>
      <c r="M45" s="17" t="s">
        <v>16</v>
      </c>
      <c r="N45" s="17" t="s">
        <v>16</v>
      </c>
      <c r="O45" s="17" t="s">
        <v>892</v>
      </c>
      <c r="P45" s="17" t="s">
        <v>892</v>
      </c>
      <c r="Q45" s="17"/>
      <c r="R45" s="17" t="s">
        <v>892</v>
      </c>
      <c r="S45" s="17" t="s">
        <v>892</v>
      </c>
      <c r="T45" s="17" t="s">
        <v>892</v>
      </c>
      <c r="U45" s="17" t="s">
        <v>892</v>
      </c>
      <c r="V45" s="17"/>
      <c r="W45" s="17" t="s">
        <v>1005</v>
      </c>
      <c r="X45" s="17"/>
      <c r="Y45" s="17"/>
      <c r="Z45" s="17"/>
      <c r="AA45" s="17"/>
      <c r="AB45" s="17"/>
      <c r="AC45" s="17"/>
      <c r="AD45" s="17"/>
      <c r="AE45" s="17"/>
      <c r="AF45" s="17"/>
      <c r="AG45" s="17"/>
      <c r="AH45" s="17" t="s">
        <v>905</v>
      </c>
    </row>
    <row r="46" spans="1:34" ht="35.25" customHeight="1">
      <c r="A46" s="53" t="s">
        <v>1014</v>
      </c>
      <c r="B46" s="21" t="s">
        <v>670</v>
      </c>
      <c r="C46" s="17" t="s">
        <v>671</v>
      </c>
      <c r="D46" s="17" t="s">
        <v>252</v>
      </c>
      <c r="E46" s="17" t="str" cm="1">
        <f t="array" ref="E4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46" s="17" t="s">
        <v>22</v>
      </c>
      <c r="G46" s="17" t="str" cm="1">
        <f t="array" ref="G4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46" s="17" t="s">
        <v>14</v>
      </c>
      <c r="I46" s="17" t="s">
        <v>943</v>
      </c>
      <c r="J46" s="17" t="s">
        <v>232</v>
      </c>
      <c r="K46" s="17" t="s">
        <v>16</v>
      </c>
      <c r="L46" s="17" t="s">
        <v>16</v>
      </c>
      <c r="M46" s="17" t="s">
        <v>16</v>
      </c>
      <c r="N46" s="17" t="s">
        <v>16</v>
      </c>
      <c r="O46" s="17" t="s">
        <v>892</v>
      </c>
      <c r="P46" s="17" t="s">
        <v>891</v>
      </c>
      <c r="Q46" s="17"/>
      <c r="R46" s="17" t="s">
        <v>892</v>
      </c>
      <c r="S46" s="17" t="s">
        <v>892</v>
      </c>
      <c r="T46" s="17" t="s">
        <v>892</v>
      </c>
      <c r="U46" s="17" t="s">
        <v>892</v>
      </c>
      <c r="V46" s="17"/>
      <c r="W46" s="17" t="s">
        <v>1005</v>
      </c>
      <c r="X46" s="17"/>
      <c r="Y46" s="17"/>
      <c r="Z46" s="17"/>
      <c r="AA46" s="17"/>
      <c r="AB46" s="17"/>
      <c r="AC46" s="17"/>
      <c r="AD46" s="17"/>
      <c r="AE46" s="17"/>
      <c r="AF46" s="17"/>
      <c r="AG46" s="17"/>
      <c r="AH46" s="17" t="s">
        <v>905</v>
      </c>
    </row>
    <row r="47" spans="1:34" ht="35.25" customHeight="1">
      <c r="A47" s="53" t="s">
        <v>1015</v>
      </c>
      <c r="B47" s="21" t="s">
        <v>1016</v>
      </c>
      <c r="C47" s="17" t="s">
        <v>673</v>
      </c>
      <c r="D47" s="17" t="s">
        <v>252</v>
      </c>
      <c r="E47" s="17" t="str" cm="1">
        <f t="array" ref="E4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47" s="17" t="s">
        <v>22</v>
      </c>
      <c r="G47" s="17" t="str" cm="1">
        <f t="array" ref="G4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47" s="17" t="s">
        <v>14</v>
      </c>
      <c r="I47" s="17" t="s">
        <v>943</v>
      </c>
      <c r="J47" s="17" t="s">
        <v>232</v>
      </c>
      <c r="K47" s="17" t="s">
        <v>16</v>
      </c>
      <c r="L47" s="17" t="s">
        <v>16</v>
      </c>
      <c r="M47" s="17" t="s">
        <v>16</v>
      </c>
      <c r="N47" s="17" t="s">
        <v>16</v>
      </c>
      <c r="O47" s="17" t="s">
        <v>892</v>
      </c>
      <c r="P47" s="17" t="s">
        <v>891</v>
      </c>
      <c r="Q47" s="17"/>
      <c r="R47" s="17" t="s">
        <v>892</v>
      </c>
      <c r="S47" s="17" t="s">
        <v>892</v>
      </c>
      <c r="T47" s="17" t="s">
        <v>892</v>
      </c>
      <c r="U47" s="17" t="s">
        <v>892</v>
      </c>
      <c r="V47" s="17"/>
      <c r="W47" s="17" t="s">
        <v>1005</v>
      </c>
      <c r="X47" s="17"/>
      <c r="Y47" s="17"/>
      <c r="Z47" s="17"/>
      <c r="AA47" s="17"/>
      <c r="AB47" s="17"/>
      <c r="AC47" s="17"/>
      <c r="AD47" s="17"/>
      <c r="AE47" s="17"/>
      <c r="AF47" s="17"/>
      <c r="AG47" s="17"/>
      <c r="AH47" s="17" t="s">
        <v>905</v>
      </c>
    </row>
    <row r="48" spans="1:34" ht="35.25" customHeight="1">
      <c r="A48" s="53" t="s">
        <v>1017</v>
      </c>
      <c r="B48" s="21" t="s">
        <v>674</v>
      </c>
      <c r="C48" s="17" t="s">
        <v>675</v>
      </c>
      <c r="D48" s="17" t="s">
        <v>252</v>
      </c>
      <c r="E48" s="17" t="str" cm="1">
        <f t="array" ref="E4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48" s="17" t="s">
        <v>22</v>
      </c>
      <c r="G48" s="17" t="str" cm="1">
        <f t="array" ref="G4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48" s="17" t="s">
        <v>14</v>
      </c>
      <c r="I48" s="17" t="s">
        <v>943</v>
      </c>
      <c r="J48" s="17" t="s">
        <v>232</v>
      </c>
      <c r="K48" s="17" t="s">
        <v>16</v>
      </c>
      <c r="L48" s="17" t="s">
        <v>16</v>
      </c>
      <c r="M48" s="17" t="s">
        <v>16</v>
      </c>
      <c r="N48" s="17" t="s">
        <v>16</v>
      </c>
      <c r="O48" s="17" t="s">
        <v>892</v>
      </c>
      <c r="P48" s="17" t="s">
        <v>891</v>
      </c>
      <c r="Q48" s="17"/>
      <c r="R48" s="17" t="s">
        <v>892</v>
      </c>
      <c r="S48" s="17" t="s">
        <v>892</v>
      </c>
      <c r="T48" s="17" t="s">
        <v>892</v>
      </c>
      <c r="U48" s="17" t="s">
        <v>892</v>
      </c>
      <c r="V48" s="17"/>
      <c r="W48" s="17" t="s">
        <v>1005</v>
      </c>
      <c r="X48" s="17"/>
      <c r="Y48" s="17"/>
      <c r="Z48" s="17"/>
      <c r="AA48" s="17"/>
      <c r="AB48" s="17"/>
      <c r="AC48" s="17"/>
      <c r="AD48" s="17"/>
      <c r="AE48" s="17"/>
      <c r="AF48" s="17"/>
      <c r="AG48" s="17"/>
      <c r="AH48" s="17" t="s">
        <v>905</v>
      </c>
    </row>
    <row r="49" spans="1:34" ht="35.25" customHeight="1">
      <c r="A49" s="53" t="s">
        <v>1018</v>
      </c>
      <c r="B49" s="21" t="s">
        <v>676</v>
      </c>
      <c r="C49" s="17" t="s">
        <v>677</v>
      </c>
      <c r="D49" s="17" t="s">
        <v>252</v>
      </c>
      <c r="E49" s="17" t="str" cm="1">
        <f t="array" ref="E4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49" s="17" t="s">
        <v>35</v>
      </c>
      <c r="G49" s="17" t="str" cm="1">
        <f t="array" ref="G4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49" s="17" t="s">
        <v>259</v>
      </c>
      <c r="I49" s="17" t="s">
        <v>943</v>
      </c>
      <c r="J49" s="17" t="s">
        <v>232</v>
      </c>
      <c r="K49" s="17" t="s">
        <v>16</v>
      </c>
      <c r="L49" s="17" t="s">
        <v>16</v>
      </c>
      <c r="M49" s="17" t="s">
        <v>16</v>
      </c>
      <c r="N49" s="17" t="s">
        <v>16</v>
      </c>
      <c r="O49" s="17" t="s">
        <v>891</v>
      </c>
      <c r="P49" s="17" t="s">
        <v>891</v>
      </c>
      <c r="Q49" s="17"/>
      <c r="R49" s="17" t="s">
        <v>892</v>
      </c>
      <c r="S49" s="17" t="s">
        <v>892</v>
      </c>
      <c r="T49" s="17" t="s">
        <v>892</v>
      </c>
      <c r="U49" s="17" t="s">
        <v>892</v>
      </c>
      <c r="V49" s="17"/>
      <c r="W49" s="17" t="s">
        <v>1005</v>
      </c>
      <c r="X49" s="17"/>
      <c r="Y49" s="17"/>
      <c r="Z49" s="17"/>
      <c r="AA49" s="17"/>
      <c r="AB49" s="17"/>
      <c r="AC49" s="17"/>
      <c r="AD49" s="17"/>
      <c r="AE49" s="17"/>
      <c r="AF49" s="17"/>
      <c r="AG49" s="17"/>
      <c r="AH49" s="17" t="s">
        <v>905</v>
      </c>
    </row>
    <row r="50" spans="1:34" ht="35.25" customHeight="1">
      <c r="A50" s="53" t="s">
        <v>1019</v>
      </c>
      <c r="B50" s="21" t="s">
        <v>678</v>
      </c>
      <c r="C50" s="17" t="s">
        <v>679</v>
      </c>
      <c r="D50" s="17" t="s">
        <v>252</v>
      </c>
      <c r="E50" s="17" t="str" cm="1">
        <f t="array" ref="E5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50" s="17" t="s">
        <v>102</v>
      </c>
      <c r="G50" s="17" t="str" cm="1">
        <f t="array" ref="G5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50" s="17" t="s">
        <v>23</v>
      </c>
      <c r="I50" s="17" t="s">
        <v>943</v>
      </c>
      <c r="J50" s="17" t="s">
        <v>232</v>
      </c>
      <c r="K50" s="17" t="s">
        <v>16</v>
      </c>
      <c r="L50" s="17" t="s">
        <v>16</v>
      </c>
      <c r="M50" s="17" t="s">
        <v>16</v>
      </c>
      <c r="N50" s="17" t="s">
        <v>16</v>
      </c>
      <c r="O50" s="17" t="s">
        <v>892</v>
      </c>
      <c r="P50" s="17" t="s">
        <v>891</v>
      </c>
      <c r="Q50" s="17"/>
      <c r="R50" s="17" t="s">
        <v>891</v>
      </c>
      <c r="S50" s="17" t="s">
        <v>891</v>
      </c>
      <c r="T50" s="17" t="s">
        <v>891</v>
      </c>
      <c r="U50" s="17" t="s">
        <v>891</v>
      </c>
      <c r="V50" s="17"/>
      <c r="W50" s="17" t="s">
        <v>1005</v>
      </c>
      <c r="X50" s="17"/>
      <c r="Y50" s="17"/>
      <c r="Z50" s="17"/>
      <c r="AA50" s="17"/>
      <c r="AB50" s="17"/>
      <c r="AC50" s="17"/>
      <c r="AD50" s="17"/>
      <c r="AE50" s="17"/>
      <c r="AF50" s="17"/>
      <c r="AG50" s="17"/>
      <c r="AH50" s="17" t="s">
        <v>905</v>
      </c>
    </row>
    <row r="51" spans="1:34" ht="35.25" customHeight="1">
      <c r="A51" s="53" t="s">
        <v>1020</v>
      </c>
      <c r="B51" s="21" t="s">
        <v>286</v>
      </c>
      <c r="C51" s="17" t="s">
        <v>680</v>
      </c>
      <c r="D51" s="17" t="s">
        <v>252</v>
      </c>
      <c r="E51" s="17" t="str" cm="1">
        <f t="array" ref="E5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51" s="17" t="s">
        <v>22</v>
      </c>
      <c r="G51" s="17" t="str" cm="1">
        <f t="array" ref="G5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51" s="17" t="s">
        <v>26</v>
      </c>
      <c r="I51" s="17" t="s">
        <v>943</v>
      </c>
      <c r="J51" s="17" t="s">
        <v>232</v>
      </c>
      <c r="K51" s="17" t="s">
        <v>16</v>
      </c>
      <c r="L51" s="17" t="s">
        <v>16</v>
      </c>
      <c r="M51" s="17" t="s">
        <v>16</v>
      </c>
      <c r="N51" s="17" t="s">
        <v>16</v>
      </c>
      <c r="O51" s="17" t="s">
        <v>891</v>
      </c>
      <c r="P51" s="17" t="s">
        <v>891</v>
      </c>
      <c r="Q51" s="17"/>
      <c r="R51" s="17" t="s">
        <v>892</v>
      </c>
      <c r="S51" s="17" t="s">
        <v>892</v>
      </c>
      <c r="T51" s="17" t="s">
        <v>892</v>
      </c>
      <c r="U51" s="17" t="s">
        <v>892</v>
      </c>
      <c r="V51" s="17"/>
      <c r="W51" s="17" t="s">
        <v>1005</v>
      </c>
      <c r="X51" s="17"/>
      <c r="Y51" s="17"/>
      <c r="Z51" s="17"/>
      <c r="AA51" s="17"/>
      <c r="AB51" s="17"/>
      <c r="AC51" s="17"/>
      <c r="AD51" s="17"/>
      <c r="AE51" s="17"/>
      <c r="AF51" s="17"/>
      <c r="AG51" s="17"/>
      <c r="AH51" s="17" t="s">
        <v>905</v>
      </c>
    </row>
    <row r="52" spans="1:34" ht="35.25" customHeight="1">
      <c r="A52" s="53" t="s">
        <v>1021</v>
      </c>
      <c r="B52" s="21" t="s">
        <v>681</v>
      </c>
      <c r="C52" s="17" t="s">
        <v>682</v>
      </c>
      <c r="D52" s="17" t="s">
        <v>252</v>
      </c>
      <c r="E52" s="17" t="str" cm="1">
        <f t="array" ref="E5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52" s="17" t="s">
        <v>239</v>
      </c>
      <c r="G52" s="17" t="str" cm="1">
        <f t="array" ref="G5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52" s="17" t="s">
        <v>375</v>
      </c>
      <c r="I52" s="17" t="s">
        <v>943</v>
      </c>
      <c r="J52" s="17" t="s">
        <v>232</v>
      </c>
      <c r="K52" s="17" t="s">
        <v>16</v>
      </c>
      <c r="L52" s="17" t="s">
        <v>16</v>
      </c>
      <c r="M52" s="17" t="s">
        <v>16</v>
      </c>
      <c r="N52" s="17" t="s">
        <v>16</v>
      </c>
      <c r="O52" s="17" t="s">
        <v>892</v>
      </c>
      <c r="P52" s="17" t="s">
        <v>892</v>
      </c>
      <c r="Q52" s="17"/>
      <c r="R52" s="17" t="s">
        <v>892</v>
      </c>
      <c r="S52" s="17" t="s">
        <v>892</v>
      </c>
      <c r="T52" s="17" t="s">
        <v>892</v>
      </c>
      <c r="U52" s="17" t="s">
        <v>892</v>
      </c>
      <c r="V52" s="17"/>
      <c r="W52" s="17" t="s">
        <v>1005</v>
      </c>
      <c r="X52" s="17"/>
      <c r="Y52" s="17"/>
      <c r="Z52" s="17"/>
      <c r="AA52" s="17"/>
      <c r="AB52" s="17"/>
      <c r="AC52" s="17"/>
      <c r="AD52" s="17"/>
      <c r="AE52" s="17"/>
      <c r="AF52" s="17"/>
      <c r="AG52" s="17"/>
      <c r="AH52" s="17" t="s">
        <v>988</v>
      </c>
    </row>
    <row r="53" spans="1:34" ht="35.25" customHeight="1">
      <c r="A53" s="53" t="s">
        <v>1022</v>
      </c>
      <c r="B53" s="21" t="s">
        <v>683</v>
      </c>
      <c r="C53" s="17" t="s">
        <v>684</v>
      </c>
      <c r="D53" s="17" t="s">
        <v>252</v>
      </c>
      <c r="E53" s="17" t="str" cm="1">
        <f t="array" ref="E5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53" s="17" t="s">
        <v>22</v>
      </c>
      <c r="G53" s="17" t="str" cm="1">
        <f t="array" ref="G5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53" s="17" t="s">
        <v>14</v>
      </c>
      <c r="I53" s="17" t="s">
        <v>943</v>
      </c>
      <c r="J53" s="17" t="s">
        <v>232</v>
      </c>
      <c r="K53" s="17" t="s">
        <v>16</v>
      </c>
      <c r="L53" s="17" t="s">
        <v>16</v>
      </c>
      <c r="M53" s="17" t="s">
        <v>16</v>
      </c>
      <c r="N53" s="17" t="s">
        <v>16</v>
      </c>
      <c r="O53" s="17" t="s">
        <v>892</v>
      </c>
      <c r="P53" s="17" t="s">
        <v>892</v>
      </c>
      <c r="Q53" s="17"/>
      <c r="R53" s="17" t="s">
        <v>892</v>
      </c>
      <c r="S53" s="17" t="s">
        <v>892</v>
      </c>
      <c r="T53" s="17" t="s">
        <v>892</v>
      </c>
      <c r="U53" s="17" t="s">
        <v>892</v>
      </c>
      <c r="V53" s="17"/>
      <c r="W53" s="17" t="s">
        <v>1005</v>
      </c>
      <c r="X53" s="17"/>
      <c r="Y53" s="17"/>
      <c r="Z53" s="17"/>
      <c r="AA53" s="17"/>
      <c r="AB53" s="17"/>
      <c r="AC53" s="17"/>
      <c r="AD53" s="17"/>
      <c r="AE53" s="17"/>
      <c r="AF53" s="17"/>
      <c r="AG53" s="17"/>
      <c r="AH53" s="17" t="s">
        <v>905</v>
      </c>
    </row>
    <row r="54" spans="1:34" s="74" customFormat="1" ht="35.25" customHeight="1">
      <c r="A54" s="53" t="s">
        <v>1023</v>
      </c>
      <c r="B54" s="21" t="s">
        <v>685</v>
      </c>
      <c r="C54" s="17" t="s">
        <v>686</v>
      </c>
      <c r="D54" s="17" t="s">
        <v>252</v>
      </c>
      <c r="E54" s="17" t="str" cm="1">
        <f t="array" ref="E5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54" s="17" t="s">
        <v>35</v>
      </c>
      <c r="G54" s="17" t="str" cm="1">
        <f t="array" ref="G5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54" s="17" t="s">
        <v>14</v>
      </c>
      <c r="I54" s="17" t="s">
        <v>943</v>
      </c>
      <c r="J54" s="17" t="s">
        <v>232</v>
      </c>
      <c r="K54" s="17" t="s">
        <v>16</v>
      </c>
      <c r="L54" s="17" t="s">
        <v>16</v>
      </c>
      <c r="M54" s="17" t="s">
        <v>16</v>
      </c>
      <c r="N54" s="17" t="s">
        <v>16</v>
      </c>
      <c r="O54" s="17" t="s">
        <v>892</v>
      </c>
      <c r="P54" s="17" t="s">
        <v>892</v>
      </c>
      <c r="Q54" s="17"/>
      <c r="R54" s="17" t="s">
        <v>892</v>
      </c>
      <c r="S54" s="17" t="s">
        <v>892</v>
      </c>
      <c r="T54" s="17" t="s">
        <v>892</v>
      </c>
      <c r="U54" s="17" t="s">
        <v>892</v>
      </c>
      <c r="V54" s="17"/>
      <c r="W54" s="17" t="s">
        <v>1005</v>
      </c>
      <c r="X54" s="17"/>
      <c r="Y54" s="17"/>
      <c r="Z54" s="17"/>
      <c r="AA54" s="17"/>
      <c r="AB54" s="17"/>
      <c r="AC54" s="17"/>
      <c r="AD54" s="17"/>
      <c r="AE54" s="17"/>
      <c r="AF54" s="17"/>
      <c r="AG54" s="17"/>
      <c r="AH54" s="17" t="s">
        <v>905</v>
      </c>
    </row>
    <row r="55" spans="1:34" ht="35.25" customHeight="1">
      <c r="A55" s="53" t="s">
        <v>1024</v>
      </c>
      <c r="B55" s="21" t="s">
        <v>687</v>
      </c>
      <c r="C55" s="17" t="s">
        <v>688</v>
      </c>
      <c r="D55" s="17" t="s">
        <v>252</v>
      </c>
      <c r="E55" s="17" t="str" cm="1">
        <f t="array" ref="E5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55" s="17" t="s">
        <v>239</v>
      </c>
      <c r="G55" s="17" t="str" cm="1">
        <f t="array" ref="G5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55" s="17" t="s">
        <v>14</v>
      </c>
      <c r="I55" s="17" t="s">
        <v>943</v>
      </c>
      <c r="J55" s="17" t="s">
        <v>232</v>
      </c>
      <c r="K55" s="17" t="s">
        <v>16</v>
      </c>
      <c r="L55" s="17" t="s">
        <v>16</v>
      </c>
      <c r="M55" s="17" t="s">
        <v>16</v>
      </c>
      <c r="N55" s="17" t="s">
        <v>16</v>
      </c>
      <c r="O55" s="17" t="s">
        <v>892</v>
      </c>
      <c r="P55" s="17" t="s">
        <v>892</v>
      </c>
      <c r="Q55" s="17"/>
      <c r="R55" s="17" t="s">
        <v>892</v>
      </c>
      <c r="S55" s="17" t="s">
        <v>892</v>
      </c>
      <c r="T55" s="17" t="s">
        <v>892</v>
      </c>
      <c r="U55" s="17" t="s">
        <v>892</v>
      </c>
      <c r="V55" s="17"/>
      <c r="W55" s="17" t="s">
        <v>1005</v>
      </c>
      <c r="X55" s="17"/>
      <c r="Y55" s="17"/>
      <c r="Z55" s="17"/>
      <c r="AA55" s="17"/>
      <c r="AB55" s="17"/>
      <c r="AC55" s="17"/>
      <c r="AD55" s="17"/>
      <c r="AE55" s="17"/>
      <c r="AF55" s="17"/>
      <c r="AG55" s="17"/>
      <c r="AH55" s="17" t="s">
        <v>988</v>
      </c>
    </row>
    <row r="56" spans="1:34" ht="35.25" customHeight="1">
      <c r="A56" s="53" t="s">
        <v>1025</v>
      </c>
      <c r="B56" s="21" t="s">
        <v>689</v>
      </c>
      <c r="C56" s="17" t="s">
        <v>690</v>
      </c>
      <c r="D56" s="17" t="s">
        <v>252</v>
      </c>
      <c r="E56" s="17" t="str" cm="1">
        <f t="array" ref="E5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56" s="17" t="s">
        <v>35</v>
      </c>
      <c r="G56" s="17" t="str" cm="1">
        <f t="array" ref="G5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56" s="17" t="s">
        <v>26</v>
      </c>
      <c r="I56" s="17" t="s">
        <v>943</v>
      </c>
      <c r="J56" s="17" t="s">
        <v>232</v>
      </c>
      <c r="K56" s="17" t="s">
        <v>16</v>
      </c>
      <c r="L56" s="17" t="s">
        <v>16</v>
      </c>
      <c r="M56" s="17" t="s">
        <v>16</v>
      </c>
      <c r="N56" s="17" t="s">
        <v>16</v>
      </c>
      <c r="O56" s="17" t="s">
        <v>892</v>
      </c>
      <c r="P56" s="17" t="s">
        <v>892</v>
      </c>
      <c r="Q56" s="17"/>
      <c r="R56" s="17" t="s">
        <v>892</v>
      </c>
      <c r="S56" s="17" t="s">
        <v>892</v>
      </c>
      <c r="T56" s="17" t="s">
        <v>892</v>
      </c>
      <c r="U56" s="17" t="s">
        <v>892</v>
      </c>
      <c r="V56" s="17"/>
      <c r="W56" s="17" t="s">
        <v>1005</v>
      </c>
      <c r="X56" s="17"/>
      <c r="Y56" s="17"/>
      <c r="Z56" s="17"/>
      <c r="AA56" s="17"/>
      <c r="AB56" s="17"/>
      <c r="AC56" s="17"/>
      <c r="AD56" s="17"/>
      <c r="AE56" s="17"/>
      <c r="AF56" s="17"/>
      <c r="AG56" s="17"/>
      <c r="AH56" s="17" t="s">
        <v>905</v>
      </c>
    </row>
    <row r="57" spans="1:34" ht="35.25" customHeight="1">
      <c r="A57" s="53" t="s">
        <v>1026</v>
      </c>
      <c r="B57" s="21" t="s">
        <v>691</v>
      </c>
      <c r="C57" s="17" t="s">
        <v>692</v>
      </c>
      <c r="D57" s="17" t="s">
        <v>252</v>
      </c>
      <c r="E57" s="17" t="str" cm="1">
        <f t="array" ref="E5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57" s="17" t="s">
        <v>35</v>
      </c>
      <c r="G57" s="17" t="str" cm="1">
        <f t="array" ref="G5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57" s="17" t="s">
        <v>259</v>
      </c>
      <c r="I57" s="17" t="s">
        <v>943</v>
      </c>
      <c r="J57" s="17" t="s">
        <v>232</v>
      </c>
      <c r="K57" s="17" t="s">
        <v>16</v>
      </c>
      <c r="L57" s="17" t="s">
        <v>16</v>
      </c>
      <c r="M57" s="17" t="s">
        <v>16</v>
      </c>
      <c r="N57" s="17" t="s">
        <v>16</v>
      </c>
      <c r="O57" s="17" t="s">
        <v>892</v>
      </c>
      <c r="P57" s="17" t="s">
        <v>891</v>
      </c>
      <c r="Q57" s="17"/>
      <c r="R57" s="17" t="s">
        <v>892</v>
      </c>
      <c r="S57" s="17" t="s">
        <v>892</v>
      </c>
      <c r="T57" s="17" t="s">
        <v>892</v>
      </c>
      <c r="U57" s="17" t="s">
        <v>892</v>
      </c>
      <c r="V57" s="17"/>
      <c r="W57" s="17" t="s">
        <v>1005</v>
      </c>
      <c r="X57" s="17"/>
      <c r="Y57" s="17"/>
      <c r="Z57" s="17"/>
      <c r="AA57" s="17"/>
      <c r="AB57" s="17"/>
      <c r="AC57" s="17"/>
      <c r="AD57" s="17"/>
      <c r="AE57" s="17"/>
      <c r="AF57" s="17"/>
      <c r="AG57" s="17"/>
      <c r="AH57" s="17" t="s">
        <v>905</v>
      </c>
    </row>
    <row r="58" spans="1:34" ht="35.25" customHeight="1">
      <c r="A58" s="53" t="s">
        <v>1027</v>
      </c>
      <c r="B58" s="21" t="s">
        <v>693</v>
      </c>
      <c r="C58" s="17" t="s">
        <v>694</v>
      </c>
      <c r="D58" s="17" t="s">
        <v>252</v>
      </c>
      <c r="E58" s="17" t="str" cm="1">
        <f t="array" ref="E5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58" s="17" t="s">
        <v>22</v>
      </c>
      <c r="G58" s="17" t="str" cm="1">
        <f t="array" ref="G5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58" s="17" t="s">
        <v>14</v>
      </c>
      <c r="I58" s="17" t="s">
        <v>943</v>
      </c>
      <c r="J58" s="17" t="s">
        <v>232</v>
      </c>
      <c r="K58" s="17" t="s">
        <v>16</v>
      </c>
      <c r="L58" s="17" t="s">
        <v>16</v>
      </c>
      <c r="M58" s="17" t="s">
        <v>16</v>
      </c>
      <c r="N58" s="17" t="s">
        <v>16</v>
      </c>
      <c r="O58" s="17" t="s">
        <v>892</v>
      </c>
      <c r="P58" s="17" t="s">
        <v>891</v>
      </c>
      <c r="Q58" s="17"/>
      <c r="R58" s="17" t="s">
        <v>892</v>
      </c>
      <c r="S58" s="17" t="s">
        <v>892</v>
      </c>
      <c r="T58" s="17" t="s">
        <v>892</v>
      </c>
      <c r="U58" s="17" t="s">
        <v>892</v>
      </c>
      <c r="V58" s="17"/>
      <c r="W58" s="17" t="s">
        <v>1005</v>
      </c>
      <c r="X58" s="17"/>
      <c r="Y58" s="17"/>
      <c r="Z58" s="17"/>
      <c r="AA58" s="17"/>
      <c r="AB58" s="17"/>
      <c r="AC58" s="17"/>
      <c r="AD58" s="17"/>
      <c r="AE58" s="17"/>
      <c r="AF58" s="17"/>
      <c r="AG58" s="17"/>
      <c r="AH58" s="17" t="s">
        <v>905</v>
      </c>
    </row>
    <row r="59" spans="1:34" ht="35.25" customHeight="1">
      <c r="A59" s="53" t="s">
        <v>1028</v>
      </c>
      <c r="B59" s="21" t="s">
        <v>1029</v>
      </c>
      <c r="C59" s="17" t="s">
        <v>696</v>
      </c>
      <c r="D59" s="17" t="s">
        <v>252</v>
      </c>
      <c r="E59" s="17" t="str" cm="1">
        <f t="array" ref="E5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59" s="17" t="s">
        <v>102</v>
      </c>
      <c r="G59" s="17" t="str" cm="1">
        <f t="array" ref="G5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59" s="17" t="s">
        <v>23</v>
      </c>
      <c r="I59" s="17" t="s">
        <v>943</v>
      </c>
      <c r="J59" s="17" t="s">
        <v>232</v>
      </c>
      <c r="K59" s="17" t="s">
        <v>16</v>
      </c>
      <c r="L59" s="17" t="s">
        <v>16</v>
      </c>
      <c r="M59" s="17" t="s">
        <v>16</v>
      </c>
      <c r="N59" s="17" t="s">
        <v>16</v>
      </c>
      <c r="O59" s="17" t="s">
        <v>892</v>
      </c>
      <c r="P59" s="17" t="s">
        <v>891</v>
      </c>
      <c r="Q59" s="17"/>
      <c r="R59" s="17" t="s">
        <v>892</v>
      </c>
      <c r="S59" s="17" t="s">
        <v>892</v>
      </c>
      <c r="T59" s="17" t="s">
        <v>892</v>
      </c>
      <c r="U59" s="17" t="s">
        <v>892</v>
      </c>
      <c r="V59" s="17"/>
      <c r="W59" s="17" t="s">
        <v>1005</v>
      </c>
      <c r="X59" s="17"/>
      <c r="Y59" s="17"/>
      <c r="Z59" s="17"/>
      <c r="AA59" s="17"/>
      <c r="AB59" s="17"/>
      <c r="AC59" s="17"/>
      <c r="AD59" s="17"/>
      <c r="AE59" s="17"/>
      <c r="AF59" s="17"/>
      <c r="AG59" s="17"/>
      <c r="AH59" s="17" t="s">
        <v>905</v>
      </c>
    </row>
    <row r="60" spans="1:34" ht="35.25" hidden="1" customHeight="1">
      <c r="A60" s="53" t="s">
        <v>1030</v>
      </c>
      <c r="B60" s="21" t="s">
        <v>1031</v>
      </c>
      <c r="C60" s="17" t="s">
        <v>1032</v>
      </c>
      <c r="D60" s="17" t="s">
        <v>252</v>
      </c>
      <c r="E60" s="17" t="str" cm="1">
        <f t="array" ref="E6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60" s="17" t="s">
        <v>35</v>
      </c>
      <c r="G60" s="17" t="str" cm="1">
        <f t="array" ref="G6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60" s="17" t="s">
        <v>26</v>
      </c>
      <c r="I60" s="17" t="s">
        <v>943</v>
      </c>
      <c r="J60" s="17" t="s">
        <v>232</v>
      </c>
      <c r="K60" s="17" t="s">
        <v>16</v>
      </c>
      <c r="L60" s="17" t="s">
        <v>16</v>
      </c>
      <c r="M60" s="17" t="s">
        <v>16</v>
      </c>
      <c r="N60" s="17" t="s">
        <v>15</v>
      </c>
      <c r="O60" s="17" t="s">
        <v>892</v>
      </c>
      <c r="P60" s="17" t="s">
        <v>892</v>
      </c>
      <c r="Q60" s="17"/>
      <c r="R60" s="17" t="s">
        <v>892</v>
      </c>
      <c r="S60" s="17" t="s">
        <v>892</v>
      </c>
      <c r="T60" s="17" t="s">
        <v>892</v>
      </c>
      <c r="U60" s="17" t="s">
        <v>892</v>
      </c>
      <c r="V60" s="17"/>
      <c r="W60" s="17" t="s">
        <v>1005</v>
      </c>
      <c r="X60" s="17"/>
      <c r="Y60" s="17"/>
      <c r="Z60" s="17"/>
      <c r="AA60" s="17"/>
      <c r="AB60" s="17"/>
      <c r="AC60" s="17"/>
      <c r="AD60" s="17"/>
      <c r="AE60" s="17"/>
      <c r="AF60" s="17"/>
      <c r="AG60" s="77" t="s">
        <v>16</v>
      </c>
      <c r="AH60" s="17" t="s">
        <v>988</v>
      </c>
    </row>
    <row r="61" spans="1:34" ht="35.25" customHeight="1">
      <c r="A61" s="53" t="s">
        <v>1033</v>
      </c>
      <c r="B61" s="21" t="s">
        <v>1034</v>
      </c>
      <c r="C61" s="17" t="s">
        <v>1035</v>
      </c>
      <c r="D61" s="17" t="s">
        <v>1036</v>
      </c>
      <c r="E61" s="17" t="str" cm="1">
        <f t="array" ref="E6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61" s="17" t="s">
        <v>25</v>
      </c>
      <c r="G61" s="17" t="str" cm="1">
        <f t="array" ref="G6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61" s="17" t="s">
        <v>375</v>
      </c>
      <c r="I61" s="17" t="s">
        <v>409</v>
      </c>
      <c r="J61" s="17" t="s">
        <v>413</v>
      </c>
      <c r="K61" s="17" t="s">
        <v>16</v>
      </c>
      <c r="L61" s="17" t="s">
        <v>16</v>
      </c>
      <c r="M61" s="17" t="s">
        <v>16</v>
      </c>
      <c r="N61" s="17" t="s">
        <v>16</v>
      </c>
      <c r="O61" s="17" t="s">
        <v>892</v>
      </c>
      <c r="P61" s="17" t="s">
        <v>891</v>
      </c>
      <c r="Q61" s="17"/>
      <c r="R61" s="17" t="s">
        <v>892</v>
      </c>
      <c r="S61" s="17" t="s">
        <v>892</v>
      </c>
      <c r="T61" s="17" t="s">
        <v>892</v>
      </c>
      <c r="U61" s="17" t="s">
        <v>892</v>
      </c>
      <c r="V61" s="17"/>
      <c r="W61" s="17" t="s">
        <v>856</v>
      </c>
      <c r="X61" s="17"/>
      <c r="Y61" s="17"/>
      <c r="Z61" s="17"/>
      <c r="AA61" s="17"/>
      <c r="AB61" s="17"/>
      <c r="AC61" s="17"/>
      <c r="AD61" s="17"/>
      <c r="AE61" s="17"/>
      <c r="AF61" s="17"/>
      <c r="AG61" s="77" t="s">
        <v>16</v>
      </c>
      <c r="AH61" s="17" t="s">
        <v>905</v>
      </c>
    </row>
    <row r="62" spans="1:34" ht="35.25" customHeight="1">
      <c r="A62" s="53" t="s">
        <v>1037</v>
      </c>
      <c r="B62" s="21" t="s">
        <v>697</v>
      </c>
      <c r="C62" s="17" t="s">
        <v>698</v>
      </c>
      <c r="D62" s="17" t="s">
        <v>1038</v>
      </c>
      <c r="E62" s="17" t="str" cm="1">
        <f t="array" ref="E6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62" s="17" t="s">
        <v>22</v>
      </c>
      <c r="G62" s="17" t="str" cm="1">
        <f t="array" ref="G6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62" s="17" t="s">
        <v>23</v>
      </c>
      <c r="I62" s="17" t="s">
        <v>409</v>
      </c>
      <c r="J62" s="17" t="s">
        <v>413</v>
      </c>
      <c r="K62" s="17" t="s">
        <v>16</v>
      </c>
      <c r="L62" s="17" t="s">
        <v>16</v>
      </c>
      <c r="M62" s="17" t="s">
        <v>16</v>
      </c>
      <c r="N62" s="17" t="s">
        <v>16</v>
      </c>
      <c r="O62" s="17" t="s">
        <v>892</v>
      </c>
      <c r="P62" s="17" t="s">
        <v>891</v>
      </c>
      <c r="Q62" s="17"/>
      <c r="R62" s="17" t="s">
        <v>892</v>
      </c>
      <c r="S62" s="17" t="s">
        <v>892</v>
      </c>
      <c r="T62" s="17" t="s">
        <v>892</v>
      </c>
      <c r="U62" s="17" t="s">
        <v>892</v>
      </c>
      <c r="V62" s="17"/>
      <c r="W62" s="17" t="s">
        <v>856</v>
      </c>
      <c r="X62" s="17"/>
      <c r="Y62" s="17"/>
      <c r="Z62" s="17"/>
      <c r="AA62" s="17"/>
      <c r="AB62" s="17"/>
      <c r="AC62" s="17"/>
      <c r="AD62" s="17"/>
      <c r="AE62" s="17"/>
      <c r="AF62" s="17"/>
      <c r="AG62" s="17"/>
      <c r="AH62" s="17" t="s">
        <v>905</v>
      </c>
    </row>
    <row r="63" spans="1:34" ht="35.25" customHeight="1">
      <c r="A63" s="53" t="s">
        <v>1039</v>
      </c>
      <c r="B63" s="21" t="s">
        <v>699</v>
      </c>
      <c r="C63" s="17" t="s">
        <v>700</v>
      </c>
      <c r="D63" s="17" t="s">
        <v>1038</v>
      </c>
      <c r="E63" s="17" t="str" cm="1">
        <f t="array" ref="E6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63" s="17" t="s">
        <v>22</v>
      </c>
      <c r="G63" s="17" t="str" cm="1">
        <f t="array" ref="G6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63" s="17" t="s">
        <v>23</v>
      </c>
      <c r="I63" s="17" t="s">
        <v>409</v>
      </c>
      <c r="J63" s="17" t="s">
        <v>413</v>
      </c>
      <c r="K63" s="17" t="s">
        <v>16</v>
      </c>
      <c r="L63" s="17" t="s">
        <v>16</v>
      </c>
      <c r="M63" s="17" t="s">
        <v>16</v>
      </c>
      <c r="N63" s="17" t="s">
        <v>16</v>
      </c>
      <c r="O63" s="17" t="s">
        <v>1040</v>
      </c>
      <c r="P63" s="17" t="s">
        <v>891</v>
      </c>
      <c r="Q63" s="17"/>
      <c r="R63" s="17" t="s">
        <v>892</v>
      </c>
      <c r="S63" s="17" t="s">
        <v>892</v>
      </c>
      <c r="T63" s="17" t="s">
        <v>892</v>
      </c>
      <c r="U63" s="17" t="s">
        <v>892</v>
      </c>
      <c r="V63" s="17"/>
      <c r="W63" s="17" t="s">
        <v>856</v>
      </c>
      <c r="X63" s="17"/>
      <c r="Y63" s="17"/>
      <c r="Z63" s="17"/>
      <c r="AA63" s="17"/>
      <c r="AB63" s="17"/>
      <c r="AC63" s="17"/>
      <c r="AD63" s="17"/>
      <c r="AE63" s="17"/>
      <c r="AF63" s="17"/>
      <c r="AG63" s="17"/>
      <c r="AH63" s="17" t="s">
        <v>905</v>
      </c>
    </row>
    <row r="64" spans="1:34" ht="35.25" customHeight="1">
      <c r="A64" s="53" t="s">
        <v>1041</v>
      </c>
      <c r="B64" s="21" t="s">
        <v>560</v>
      </c>
      <c r="C64" s="17" t="s">
        <v>701</v>
      </c>
      <c r="D64" s="17" t="s">
        <v>1038</v>
      </c>
      <c r="E64" s="17" t="str" cm="1">
        <f t="array" ref="E6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64" s="17" t="s">
        <v>22</v>
      </c>
      <c r="G64" s="17" t="str" cm="1">
        <f t="array" ref="G6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64" s="17" t="s">
        <v>23</v>
      </c>
      <c r="I64" s="17" t="s">
        <v>409</v>
      </c>
      <c r="J64" s="17" t="s">
        <v>413</v>
      </c>
      <c r="K64" s="17" t="s">
        <v>16</v>
      </c>
      <c r="L64" s="17" t="s">
        <v>16</v>
      </c>
      <c r="M64" s="17" t="s">
        <v>16</v>
      </c>
      <c r="N64" s="17" t="s">
        <v>16</v>
      </c>
      <c r="O64" s="17" t="s">
        <v>1040</v>
      </c>
      <c r="P64" s="17" t="s">
        <v>891</v>
      </c>
      <c r="Q64" s="17"/>
      <c r="R64" s="17" t="s">
        <v>892</v>
      </c>
      <c r="S64" s="17" t="s">
        <v>892</v>
      </c>
      <c r="T64" s="17" t="s">
        <v>892</v>
      </c>
      <c r="U64" s="17" t="s">
        <v>892</v>
      </c>
      <c r="V64" s="17"/>
      <c r="W64" s="17" t="s">
        <v>856</v>
      </c>
      <c r="X64" s="17"/>
      <c r="Y64" s="17"/>
      <c r="Z64" s="17"/>
      <c r="AA64" s="17"/>
      <c r="AB64" s="17"/>
      <c r="AC64" s="17"/>
      <c r="AD64" s="17"/>
      <c r="AE64" s="17"/>
      <c r="AF64" s="17"/>
      <c r="AG64" s="17"/>
      <c r="AH64" s="17" t="s">
        <v>905</v>
      </c>
    </row>
    <row r="65" spans="1:34" ht="35.25" customHeight="1">
      <c r="A65" s="53" t="s">
        <v>1042</v>
      </c>
      <c r="B65" s="66" t="s">
        <v>702</v>
      </c>
      <c r="C65" s="17" t="s">
        <v>703</v>
      </c>
      <c r="D65" s="17" t="s">
        <v>1038</v>
      </c>
      <c r="E65" s="17" t="str" cm="1">
        <f t="array" ref="E6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65" s="17" t="s">
        <v>102</v>
      </c>
      <c r="G65" s="17" t="str" cm="1">
        <f t="array" ref="G6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65" s="17" t="s">
        <v>23</v>
      </c>
      <c r="I65" s="17" t="s">
        <v>409</v>
      </c>
      <c r="J65" s="17" t="s">
        <v>413</v>
      </c>
      <c r="K65" s="17" t="s">
        <v>16</v>
      </c>
      <c r="L65" s="17" t="s">
        <v>16</v>
      </c>
      <c r="M65" s="17" t="s">
        <v>16</v>
      </c>
      <c r="N65" s="17" t="s">
        <v>16</v>
      </c>
      <c r="O65" s="17" t="s">
        <v>892</v>
      </c>
      <c r="P65" s="17" t="s">
        <v>891</v>
      </c>
      <c r="Q65" s="17"/>
      <c r="R65" s="17" t="s">
        <v>892</v>
      </c>
      <c r="S65" s="17" t="s">
        <v>892</v>
      </c>
      <c r="T65" s="17" t="s">
        <v>892</v>
      </c>
      <c r="U65" s="17" t="s">
        <v>892</v>
      </c>
      <c r="V65" s="17"/>
      <c r="W65" s="17" t="s">
        <v>856</v>
      </c>
      <c r="X65" s="17"/>
      <c r="Y65" s="17"/>
      <c r="Z65" s="17"/>
      <c r="AA65" s="17"/>
      <c r="AB65" s="17"/>
      <c r="AC65" s="17"/>
      <c r="AD65" s="17"/>
      <c r="AE65" s="17"/>
      <c r="AF65" s="17"/>
      <c r="AG65" s="17"/>
      <c r="AH65" s="17" t="s">
        <v>905</v>
      </c>
    </row>
    <row r="66" spans="1:34" ht="35.25" customHeight="1">
      <c r="A66" s="53" t="s">
        <v>1043</v>
      </c>
      <c r="B66" s="66" t="s">
        <v>704</v>
      </c>
      <c r="C66" s="17" t="s">
        <v>705</v>
      </c>
      <c r="D66" s="17" t="s">
        <v>1038</v>
      </c>
      <c r="E66" s="17" t="str" cm="1">
        <f t="array" ref="E6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66" s="17" t="s">
        <v>102</v>
      </c>
      <c r="G66" s="17" t="str" cm="1">
        <f t="array" ref="G6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66" s="17" t="s">
        <v>23</v>
      </c>
      <c r="I66" s="17" t="s">
        <v>409</v>
      </c>
      <c r="J66" s="17" t="s">
        <v>413</v>
      </c>
      <c r="K66" s="17" t="s">
        <v>16</v>
      </c>
      <c r="L66" s="17" t="s">
        <v>16</v>
      </c>
      <c r="M66" s="17" t="s">
        <v>16</v>
      </c>
      <c r="N66" s="17" t="s">
        <v>16</v>
      </c>
      <c r="O66" s="17" t="s">
        <v>892</v>
      </c>
      <c r="P66" s="17" t="s">
        <v>892</v>
      </c>
      <c r="Q66" s="17"/>
      <c r="R66" s="17" t="s">
        <v>892</v>
      </c>
      <c r="S66" s="17" t="s">
        <v>892</v>
      </c>
      <c r="T66" s="17" t="s">
        <v>892</v>
      </c>
      <c r="U66" s="17" t="s">
        <v>892</v>
      </c>
      <c r="V66" s="17"/>
      <c r="W66" s="17" t="s">
        <v>856</v>
      </c>
      <c r="X66" s="17"/>
      <c r="Y66" s="17"/>
      <c r="Z66" s="17"/>
      <c r="AA66" s="17"/>
      <c r="AB66" s="17"/>
      <c r="AC66" s="17"/>
      <c r="AD66" s="17"/>
      <c r="AE66" s="17"/>
      <c r="AF66" s="17"/>
      <c r="AG66" s="17"/>
      <c r="AH66" s="17" t="s">
        <v>905</v>
      </c>
    </row>
    <row r="67" spans="1:34" ht="35.25" customHeight="1">
      <c r="A67" s="53" t="s">
        <v>1044</v>
      </c>
      <c r="B67" s="66" t="s">
        <v>706</v>
      </c>
      <c r="C67" s="17" t="s">
        <v>707</v>
      </c>
      <c r="D67" s="17" t="s">
        <v>1038</v>
      </c>
      <c r="E67" s="17" t="str" cm="1">
        <f t="array" ref="E6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67" s="17" t="s">
        <v>102</v>
      </c>
      <c r="G67" s="17" t="str" cm="1">
        <f t="array" ref="G6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67" s="17" t="s">
        <v>23</v>
      </c>
      <c r="I67" s="17" t="s">
        <v>409</v>
      </c>
      <c r="J67" s="17" t="s">
        <v>413</v>
      </c>
      <c r="K67" s="17" t="s">
        <v>16</v>
      </c>
      <c r="L67" s="17" t="s">
        <v>16</v>
      </c>
      <c r="M67" s="17" t="s">
        <v>16</v>
      </c>
      <c r="N67" s="17" t="s">
        <v>16</v>
      </c>
      <c r="O67" s="17" t="s">
        <v>892</v>
      </c>
      <c r="P67" s="17" t="s">
        <v>891</v>
      </c>
      <c r="Q67" s="17"/>
      <c r="R67" s="17" t="s">
        <v>892</v>
      </c>
      <c r="S67" s="17" t="s">
        <v>892</v>
      </c>
      <c r="T67" s="17" t="s">
        <v>892</v>
      </c>
      <c r="U67" s="17" t="s">
        <v>892</v>
      </c>
      <c r="V67" s="17"/>
      <c r="W67" s="17" t="s">
        <v>856</v>
      </c>
      <c r="X67" s="17"/>
      <c r="Y67" s="17"/>
      <c r="Z67" s="17"/>
      <c r="AA67" s="17"/>
      <c r="AB67" s="17"/>
      <c r="AC67" s="17"/>
      <c r="AD67" s="17"/>
      <c r="AE67" s="17"/>
      <c r="AF67" s="17"/>
      <c r="AG67" s="17"/>
      <c r="AH67" s="17" t="s">
        <v>905</v>
      </c>
    </row>
    <row r="68" spans="1:34" ht="35.25" customHeight="1">
      <c r="A68" s="53" t="s">
        <v>1045</v>
      </c>
      <c r="B68" s="66" t="s">
        <v>708</v>
      </c>
      <c r="C68" s="17" t="s">
        <v>709</v>
      </c>
      <c r="D68" s="17" t="s">
        <v>1038</v>
      </c>
      <c r="E68" s="17" t="str" cm="1">
        <f t="array" ref="E6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68" s="17" t="s">
        <v>102</v>
      </c>
      <c r="G68" s="17" t="str" cm="1">
        <f t="array" ref="G6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68" s="17" t="s">
        <v>23</v>
      </c>
      <c r="I68" s="17" t="s">
        <v>409</v>
      </c>
      <c r="J68" s="17" t="s">
        <v>413</v>
      </c>
      <c r="K68" s="17" t="s">
        <v>16</v>
      </c>
      <c r="L68" s="17" t="s">
        <v>16</v>
      </c>
      <c r="M68" s="17" t="s">
        <v>16</v>
      </c>
      <c r="N68" s="17" t="s">
        <v>16</v>
      </c>
      <c r="O68" s="17" t="s">
        <v>892</v>
      </c>
      <c r="P68" s="17" t="s">
        <v>891</v>
      </c>
      <c r="Q68" s="17"/>
      <c r="R68" s="17" t="s">
        <v>892</v>
      </c>
      <c r="S68" s="17" t="s">
        <v>892</v>
      </c>
      <c r="T68" s="17" t="s">
        <v>892</v>
      </c>
      <c r="U68" s="17" t="s">
        <v>892</v>
      </c>
      <c r="V68" s="17"/>
      <c r="W68" s="17" t="s">
        <v>856</v>
      </c>
      <c r="X68" s="17"/>
      <c r="Y68" s="17"/>
      <c r="Z68" s="17"/>
      <c r="AA68" s="17"/>
      <c r="AB68" s="17"/>
      <c r="AC68" s="17"/>
      <c r="AD68" s="17"/>
      <c r="AE68" s="17"/>
      <c r="AF68" s="17"/>
      <c r="AG68" s="17"/>
      <c r="AH68" s="17" t="s">
        <v>905</v>
      </c>
    </row>
    <row r="69" spans="1:34" ht="35.25" customHeight="1">
      <c r="A69" s="53" t="s">
        <v>1046</v>
      </c>
      <c r="B69" s="66" t="s">
        <v>710</v>
      </c>
      <c r="C69" s="17" t="s">
        <v>711</v>
      </c>
      <c r="D69" s="17" t="s">
        <v>1038</v>
      </c>
      <c r="E69" s="17" t="str" cm="1">
        <f t="array" ref="E6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69" s="17" t="s">
        <v>102</v>
      </c>
      <c r="G69" s="17" t="str" cm="1">
        <f t="array" ref="G6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69" s="17" t="s">
        <v>23</v>
      </c>
      <c r="I69" s="17" t="s">
        <v>409</v>
      </c>
      <c r="J69" s="17" t="s">
        <v>413</v>
      </c>
      <c r="K69" s="17" t="s">
        <v>16</v>
      </c>
      <c r="L69" s="17" t="s">
        <v>16</v>
      </c>
      <c r="M69" s="17" t="s">
        <v>16</v>
      </c>
      <c r="N69" s="17" t="s">
        <v>16</v>
      </c>
      <c r="O69" s="17" t="s">
        <v>892</v>
      </c>
      <c r="P69" s="17" t="s">
        <v>891</v>
      </c>
      <c r="Q69" s="17"/>
      <c r="R69" s="17" t="s">
        <v>892</v>
      </c>
      <c r="S69" s="17" t="s">
        <v>892</v>
      </c>
      <c r="T69" s="17" t="s">
        <v>892</v>
      </c>
      <c r="U69" s="17" t="s">
        <v>892</v>
      </c>
      <c r="V69" s="17"/>
      <c r="W69" s="17" t="s">
        <v>856</v>
      </c>
      <c r="X69" s="17"/>
      <c r="Y69" s="17"/>
      <c r="Z69" s="17"/>
      <c r="AA69" s="17"/>
      <c r="AB69" s="17"/>
      <c r="AC69" s="17"/>
      <c r="AD69" s="17"/>
      <c r="AE69" s="17"/>
      <c r="AF69" s="17"/>
      <c r="AG69" s="17"/>
      <c r="AH69" s="17" t="s">
        <v>905</v>
      </c>
    </row>
    <row r="70" spans="1:34" ht="35.25" customHeight="1">
      <c r="A70" s="53" t="s">
        <v>1047</v>
      </c>
      <c r="B70" s="21" t="s">
        <v>1048</v>
      </c>
      <c r="C70" s="17" t="s">
        <v>712</v>
      </c>
      <c r="D70" s="17" t="s">
        <v>1049</v>
      </c>
      <c r="E70" s="17" t="str" cm="1">
        <f t="array" ref="E7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70" s="17" t="s">
        <v>102</v>
      </c>
      <c r="G70" s="17" t="str" cm="1">
        <f t="array" ref="G7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70" s="17" t="s">
        <v>271</v>
      </c>
      <c r="I70" s="17" t="s">
        <v>409</v>
      </c>
      <c r="J70" s="17" t="s">
        <v>413</v>
      </c>
      <c r="K70" s="17" t="s">
        <v>16</v>
      </c>
      <c r="L70" s="17" t="s">
        <v>16</v>
      </c>
      <c r="M70" s="17" t="s">
        <v>16</v>
      </c>
      <c r="N70" s="17" t="s">
        <v>16</v>
      </c>
      <c r="O70" s="17" t="s">
        <v>892</v>
      </c>
      <c r="P70" s="17" t="s">
        <v>892</v>
      </c>
      <c r="Q70" s="17"/>
      <c r="R70" s="17" t="s">
        <v>892</v>
      </c>
      <c r="S70" s="17" t="s">
        <v>892</v>
      </c>
      <c r="T70" s="17" t="s">
        <v>892</v>
      </c>
      <c r="U70" s="17" t="s">
        <v>892</v>
      </c>
      <c r="V70" s="17"/>
      <c r="W70" s="17" t="s">
        <v>856</v>
      </c>
      <c r="X70" s="17"/>
      <c r="Y70" s="17"/>
      <c r="Z70" s="17"/>
      <c r="AA70" s="17"/>
      <c r="AB70" s="17"/>
      <c r="AC70" s="17"/>
      <c r="AD70" s="17"/>
      <c r="AE70" s="17"/>
      <c r="AF70" s="17"/>
      <c r="AG70" s="17"/>
      <c r="AH70" s="17" t="s">
        <v>905</v>
      </c>
    </row>
    <row r="71" spans="1:34" ht="35.25" customHeight="1">
      <c r="A71" s="53" t="s">
        <v>1050</v>
      </c>
      <c r="B71" s="21" t="s">
        <v>438</v>
      </c>
      <c r="C71" s="17" t="s">
        <v>713</v>
      </c>
      <c r="D71" s="17" t="s">
        <v>1049</v>
      </c>
      <c r="E71" s="17" t="str" cm="1">
        <f t="array" ref="E7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71" s="17" t="s">
        <v>102</v>
      </c>
      <c r="G71" s="17" t="str" cm="1">
        <f t="array" ref="G7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71" s="17" t="s">
        <v>271</v>
      </c>
      <c r="I71" s="17" t="s">
        <v>409</v>
      </c>
      <c r="J71" s="17" t="s">
        <v>413</v>
      </c>
      <c r="K71" s="17" t="s">
        <v>16</v>
      </c>
      <c r="L71" s="17" t="s">
        <v>16</v>
      </c>
      <c r="M71" s="17" t="s">
        <v>16</v>
      </c>
      <c r="N71" s="17" t="s">
        <v>16</v>
      </c>
      <c r="O71" s="17" t="s">
        <v>892</v>
      </c>
      <c r="P71" s="17" t="s">
        <v>892</v>
      </c>
      <c r="Q71" s="17"/>
      <c r="R71" s="17" t="s">
        <v>892</v>
      </c>
      <c r="S71" s="17" t="s">
        <v>892</v>
      </c>
      <c r="T71" s="17" t="s">
        <v>892</v>
      </c>
      <c r="U71" s="17" t="s">
        <v>892</v>
      </c>
      <c r="V71" s="17"/>
      <c r="W71" s="17" t="s">
        <v>856</v>
      </c>
      <c r="X71" s="17"/>
      <c r="Y71" s="17"/>
      <c r="Z71" s="17"/>
      <c r="AA71" s="17"/>
      <c r="AB71" s="17"/>
      <c r="AC71" s="17"/>
      <c r="AD71" s="17"/>
      <c r="AE71" s="17"/>
      <c r="AF71" s="17"/>
      <c r="AG71" s="17"/>
      <c r="AH71" s="17" t="s">
        <v>905</v>
      </c>
    </row>
    <row r="72" spans="1:34" ht="35.25" customHeight="1">
      <c r="A72" s="53" t="s">
        <v>1051</v>
      </c>
      <c r="B72" s="21" t="s">
        <v>440</v>
      </c>
      <c r="C72" s="17" t="s">
        <v>714</v>
      </c>
      <c r="D72" s="17" t="s">
        <v>1049</v>
      </c>
      <c r="E72" s="17" t="str" cm="1">
        <f t="array" ref="E7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72" s="17" t="s">
        <v>102</v>
      </c>
      <c r="G72" s="17" t="str" cm="1">
        <f t="array" ref="G7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72" s="17" t="s">
        <v>271</v>
      </c>
      <c r="I72" s="17" t="s">
        <v>409</v>
      </c>
      <c r="J72" s="17" t="s">
        <v>413</v>
      </c>
      <c r="K72" s="17" t="s">
        <v>16</v>
      </c>
      <c r="L72" s="17" t="s">
        <v>16</v>
      </c>
      <c r="M72" s="17" t="s">
        <v>16</v>
      </c>
      <c r="N72" s="17" t="s">
        <v>16</v>
      </c>
      <c r="O72" s="17" t="s">
        <v>892</v>
      </c>
      <c r="P72" s="17" t="s">
        <v>892</v>
      </c>
      <c r="Q72" s="17"/>
      <c r="R72" s="17" t="s">
        <v>892</v>
      </c>
      <c r="S72" s="17" t="s">
        <v>892</v>
      </c>
      <c r="T72" s="17" t="s">
        <v>892</v>
      </c>
      <c r="U72" s="17" t="s">
        <v>892</v>
      </c>
      <c r="V72" s="17"/>
      <c r="W72" s="17" t="s">
        <v>856</v>
      </c>
      <c r="X72" s="17"/>
      <c r="Y72" s="17"/>
      <c r="Z72" s="17"/>
      <c r="AA72" s="17"/>
      <c r="AB72" s="17"/>
      <c r="AC72" s="17"/>
      <c r="AD72" s="17"/>
      <c r="AE72" s="17"/>
      <c r="AF72" s="17"/>
      <c r="AG72" s="17"/>
      <c r="AH72" s="17" t="s">
        <v>905</v>
      </c>
    </row>
    <row r="73" spans="1:34" ht="35.25" customHeight="1">
      <c r="A73" s="53" t="s">
        <v>1052</v>
      </c>
      <c r="B73" s="21" t="s">
        <v>442</v>
      </c>
      <c r="C73" s="17" t="s">
        <v>715</v>
      </c>
      <c r="D73" s="17" t="s">
        <v>1049</v>
      </c>
      <c r="E73" s="17" t="str" cm="1">
        <f t="array" ref="E7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73" s="17" t="s">
        <v>102</v>
      </c>
      <c r="G73" s="17" t="str" cm="1">
        <f t="array" ref="G7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73" s="17" t="s">
        <v>271</v>
      </c>
      <c r="I73" s="17" t="s">
        <v>409</v>
      </c>
      <c r="J73" s="17" t="s">
        <v>413</v>
      </c>
      <c r="K73" s="17" t="s">
        <v>16</v>
      </c>
      <c r="L73" s="17" t="s">
        <v>16</v>
      </c>
      <c r="M73" s="17" t="s">
        <v>16</v>
      </c>
      <c r="N73" s="17" t="s">
        <v>16</v>
      </c>
      <c r="O73" s="17" t="s">
        <v>892</v>
      </c>
      <c r="P73" s="17" t="s">
        <v>892</v>
      </c>
      <c r="Q73" s="17"/>
      <c r="R73" s="17" t="s">
        <v>892</v>
      </c>
      <c r="S73" s="17" t="s">
        <v>892</v>
      </c>
      <c r="T73" s="17" t="s">
        <v>892</v>
      </c>
      <c r="U73" s="17" t="s">
        <v>892</v>
      </c>
      <c r="V73" s="17"/>
      <c r="W73" s="17" t="s">
        <v>856</v>
      </c>
      <c r="X73" s="17"/>
      <c r="Y73" s="17"/>
      <c r="Z73" s="17"/>
      <c r="AA73" s="17"/>
      <c r="AB73" s="17"/>
      <c r="AC73" s="17"/>
      <c r="AD73" s="17"/>
      <c r="AE73" s="17"/>
      <c r="AF73" s="17"/>
      <c r="AG73" s="17"/>
      <c r="AH73" s="17" t="s">
        <v>905</v>
      </c>
    </row>
    <row r="74" spans="1:34" ht="35.25" customHeight="1">
      <c r="A74" s="53" t="s">
        <v>1053</v>
      </c>
      <c r="B74" s="21" t="s">
        <v>444</v>
      </c>
      <c r="C74" s="17" t="s">
        <v>716</v>
      </c>
      <c r="D74" s="17" t="s">
        <v>1049</v>
      </c>
      <c r="E74" s="17" t="str" cm="1">
        <f t="array" ref="E7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74" s="17" t="s">
        <v>102</v>
      </c>
      <c r="G74" s="17" t="str" cm="1">
        <f t="array" ref="G7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74" s="17" t="s">
        <v>271</v>
      </c>
      <c r="I74" s="17" t="s">
        <v>409</v>
      </c>
      <c r="J74" s="17" t="s">
        <v>413</v>
      </c>
      <c r="K74" s="17" t="s">
        <v>16</v>
      </c>
      <c r="L74" s="17" t="s">
        <v>16</v>
      </c>
      <c r="M74" s="17" t="s">
        <v>16</v>
      </c>
      <c r="N74" s="17" t="s">
        <v>16</v>
      </c>
      <c r="O74" s="17" t="s">
        <v>892</v>
      </c>
      <c r="P74" s="17" t="s">
        <v>892</v>
      </c>
      <c r="Q74" s="17"/>
      <c r="R74" s="17" t="s">
        <v>892</v>
      </c>
      <c r="S74" s="17" t="s">
        <v>892</v>
      </c>
      <c r="T74" s="17" t="s">
        <v>892</v>
      </c>
      <c r="U74" s="17" t="s">
        <v>892</v>
      </c>
      <c r="V74" s="17"/>
      <c r="W74" s="17" t="s">
        <v>856</v>
      </c>
      <c r="X74" s="17"/>
      <c r="Y74" s="17"/>
      <c r="Z74" s="17"/>
      <c r="AA74" s="17"/>
      <c r="AB74" s="17"/>
      <c r="AC74" s="17"/>
      <c r="AD74" s="17"/>
      <c r="AE74" s="17"/>
      <c r="AF74" s="17"/>
      <c r="AG74" s="17"/>
      <c r="AH74" s="17" t="s">
        <v>905</v>
      </c>
    </row>
    <row r="75" spans="1:34" ht="35.25" customHeight="1">
      <c r="A75" s="53" t="s">
        <v>1054</v>
      </c>
      <c r="B75" s="21" t="s">
        <v>1055</v>
      </c>
      <c r="C75" s="17" t="s">
        <v>718</v>
      </c>
      <c r="D75" s="17" t="s">
        <v>1049</v>
      </c>
      <c r="E75" s="17" t="str" cm="1">
        <f t="array" ref="E7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75" s="17" t="s">
        <v>67</v>
      </c>
      <c r="G75" s="17" t="str" cm="1">
        <f t="array" ref="G7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75" s="17" t="s">
        <v>29</v>
      </c>
      <c r="I75" s="17" t="s">
        <v>425</v>
      </c>
      <c r="J75" s="17" t="s">
        <v>413</v>
      </c>
      <c r="K75" s="17" t="s">
        <v>16</v>
      </c>
      <c r="L75" s="17" t="s">
        <v>16</v>
      </c>
      <c r="M75" s="17" t="s">
        <v>16</v>
      </c>
      <c r="N75" s="17" t="s">
        <v>16</v>
      </c>
      <c r="O75" s="17" t="s">
        <v>892</v>
      </c>
      <c r="P75" s="17" t="s">
        <v>892</v>
      </c>
      <c r="Q75" s="17"/>
      <c r="R75" s="17" t="s">
        <v>892</v>
      </c>
      <c r="S75" s="17" t="s">
        <v>892</v>
      </c>
      <c r="T75" s="17" t="s">
        <v>892</v>
      </c>
      <c r="U75" s="17" t="s">
        <v>892</v>
      </c>
      <c r="V75" s="17"/>
      <c r="W75" s="17" t="s">
        <v>856</v>
      </c>
      <c r="X75" s="17"/>
      <c r="Y75" s="17"/>
      <c r="Z75" s="17"/>
      <c r="AA75" s="17"/>
      <c r="AB75" s="17"/>
      <c r="AC75" s="17"/>
      <c r="AD75" s="17"/>
      <c r="AE75" s="17"/>
      <c r="AF75" s="17"/>
      <c r="AG75" s="17"/>
      <c r="AH75" s="17" t="s">
        <v>905</v>
      </c>
    </row>
    <row r="76" spans="1:34" ht="35.25" customHeight="1">
      <c r="A76" s="53" t="s">
        <v>1056</v>
      </c>
      <c r="B76" s="21" t="s">
        <v>1057</v>
      </c>
      <c r="C76" s="17" t="s">
        <v>1058</v>
      </c>
      <c r="D76" s="17" t="s">
        <v>1049</v>
      </c>
      <c r="E76" s="17" t="str" cm="1">
        <f t="array" ref="E7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76" s="17" t="s">
        <v>22</v>
      </c>
      <c r="G76" s="17" t="str" cm="1">
        <f t="array" ref="G7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76" s="17" t="s">
        <v>23</v>
      </c>
      <c r="I76" s="17" t="s">
        <v>425</v>
      </c>
      <c r="J76" s="17" t="s">
        <v>413</v>
      </c>
      <c r="K76" s="17" t="s">
        <v>16</v>
      </c>
      <c r="L76" s="17" t="s">
        <v>16</v>
      </c>
      <c r="M76" s="17" t="s">
        <v>16</v>
      </c>
      <c r="N76" s="17" t="s">
        <v>16</v>
      </c>
      <c r="O76" s="17" t="s">
        <v>892</v>
      </c>
      <c r="P76" s="17" t="s">
        <v>891</v>
      </c>
      <c r="Q76" s="17"/>
      <c r="R76" s="17" t="s">
        <v>892</v>
      </c>
      <c r="S76" s="17" t="s">
        <v>892</v>
      </c>
      <c r="T76" s="17" t="s">
        <v>892</v>
      </c>
      <c r="U76" s="17" t="s">
        <v>892</v>
      </c>
      <c r="V76" s="17"/>
      <c r="W76" s="17" t="s">
        <v>856</v>
      </c>
      <c r="X76" s="17"/>
      <c r="Y76" s="17"/>
      <c r="Z76" s="17"/>
      <c r="AA76" s="17"/>
      <c r="AB76" s="17"/>
      <c r="AC76" s="17"/>
      <c r="AD76" s="17"/>
      <c r="AE76" s="17"/>
      <c r="AF76" s="17"/>
      <c r="AG76" s="77" t="s">
        <v>16</v>
      </c>
      <c r="AH76" s="17" t="s">
        <v>905</v>
      </c>
    </row>
    <row r="77" spans="1:34" ht="35.25" customHeight="1">
      <c r="A77" s="53" t="s">
        <v>1059</v>
      </c>
      <c r="B77" s="21" t="s">
        <v>1060</v>
      </c>
      <c r="C77" s="17" t="s">
        <v>1061</v>
      </c>
      <c r="D77" s="17" t="s">
        <v>964</v>
      </c>
      <c r="E77" s="17" t="str" cm="1">
        <f t="array" ref="E7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77" s="17" t="s">
        <v>35</v>
      </c>
      <c r="G77" s="17" t="str" cm="1">
        <f t="array" ref="G7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77" s="17" t="s">
        <v>375</v>
      </c>
      <c r="I77" s="17" t="s">
        <v>951</v>
      </c>
      <c r="J77" s="17" t="s">
        <v>944</v>
      </c>
      <c r="K77" s="17" t="s">
        <v>16</v>
      </c>
      <c r="L77" s="17" t="s">
        <v>16</v>
      </c>
      <c r="M77" s="17" t="s">
        <v>16</v>
      </c>
      <c r="N77" s="17" t="s">
        <v>16</v>
      </c>
      <c r="O77" s="17" t="s">
        <v>913</v>
      </c>
      <c r="P77" s="17" t="s">
        <v>891</v>
      </c>
      <c r="Q77" s="17"/>
      <c r="R77" s="17" t="s">
        <v>892</v>
      </c>
      <c r="S77" s="17" t="s">
        <v>892</v>
      </c>
      <c r="T77" s="17" t="s">
        <v>892</v>
      </c>
      <c r="U77" s="17" t="s">
        <v>892</v>
      </c>
      <c r="V77" s="17"/>
      <c r="W77" s="17" t="s">
        <v>966</v>
      </c>
      <c r="X77" s="17"/>
      <c r="Y77" s="17"/>
      <c r="Z77" s="17"/>
      <c r="AA77" s="17"/>
      <c r="AB77" s="17"/>
      <c r="AC77" s="17"/>
      <c r="AD77" s="17"/>
      <c r="AE77" s="17"/>
      <c r="AF77" s="17"/>
      <c r="AG77" s="77" t="s">
        <v>16</v>
      </c>
      <c r="AH77" s="17" t="s">
        <v>905</v>
      </c>
    </row>
    <row r="78" spans="1:34" ht="35.25" customHeight="1">
      <c r="A78" s="53" t="s">
        <v>1062</v>
      </c>
      <c r="B78" s="21" t="s">
        <v>1063</v>
      </c>
      <c r="C78" s="17" t="s">
        <v>1064</v>
      </c>
      <c r="D78" s="17" t="s">
        <v>964</v>
      </c>
      <c r="E78" s="17" t="str" cm="1">
        <f t="array" ref="E7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78" s="17" t="s">
        <v>239</v>
      </c>
      <c r="G78" s="17" t="str" cm="1">
        <f t="array" ref="G7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78" s="17" t="s">
        <v>375</v>
      </c>
      <c r="I78" s="17" t="s">
        <v>964</v>
      </c>
      <c r="J78" s="17" t="s">
        <v>965</v>
      </c>
      <c r="K78" s="17" t="s">
        <v>16</v>
      </c>
      <c r="L78" s="17" t="s">
        <v>16</v>
      </c>
      <c r="M78" s="17" t="s">
        <v>16</v>
      </c>
      <c r="N78" s="17" t="s">
        <v>16</v>
      </c>
      <c r="O78" s="17" t="s">
        <v>892</v>
      </c>
      <c r="P78" s="17" t="s">
        <v>892</v>
      </c>
      <c r="Q78" s="17"/>
      <c r="R78" s="17" t="s">
        <v>892</v>
      </c>
      <c r="S78" s="17" t="s">
        <v>892</v>
      </c>
      <c r="T78" s="17" t="s">
        <v>892</v>
      </c>
      <c r="U78" s="17" t="s">
        <v>892</v>
      </c>
      <c r="V78" s="17"/>
      <c r="W78" s="17" t="s">
        <v>966</v>
      </c>
      <c r="X78" s="17"/>
      <c r="Y78" s="17"/>
      <c r="Z78" s="17"/>
      <c r="AA78" s="17"/>
      <c r="AB78" s="17"/>
      <c r="AC78" s="17"/>
      <c r="AD78" s="17"/>
      <c r="AE78" s="17"/>
      <c r="AF78" s="17"/>
      <c r="AG78" s="77" t="s">
        <v>16</v>
      </c>
      <c r="AH78" s="17" t="s">
        <v>905</v>
      </c>
    </row>
    <row r="79" spans="1:34" ht="35.25" customHeight="1">
      <c r="A79" s="53" t="s">
        <v>1065</v>
      </c>
      <c r="B79" s="21" t="s">
        <v>1066</v>
      </c>
      <c r="C79" s="17" t="s">
        <v>1067</v>
      </c>
      <c r="D79" s="17" t="s">
        <v>964</v>
      </c>
      <c r="E79" s="17" t="str" cm="1">
        <f t="array" ref="E7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79" s="17" t="s">
        <v>239</v>
      </c>
      <c r="G79" s="17" t="str" cm="1">
        <f t="array" ref="G7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79" s="17" t="s">
        <v>375</v>
      </c>
      <c r="I79" s="17" t="s">
        <v>964</v>
      </c>
      <c r="J79" s="17" t="s">
        <v>965</v>
      </c>
      <c r="K79" s="17" t="s">
        <v>16</v>
      </c>
      <c r="L79" s="17" t="s">
        <v>16</v>
      </c>
      <c r="M79" s="17" t="s">
        <v>16</v>
      </c>
      <c r="N79" s="17" t="s">
        <v>16</v>
      </c>
      <c r="O79" s="17" t="s">
        <v>892</v>
      </c>
      <c r="P79" s="17" t="s">
        <v>892</v>
      </c>
      <c r="Q79" s="17"/>
      <c r="R79" s="17" t="s">
        <v>892</v>
      </c>
      <c r="S79" s="17" t="s">
        <v>892</v>
      </c>
      <c r="T79" s="17" t="s">
        <v>892</v>
      </c>
      <c r="U79" s="17" t="s">
        <v>892</v>
      </c>
      <c r="V79" s="17"/>
      <c r="W79" s="17" t="s">
        <v>966</v>
      </c>
      <c r="X79" s="17"/>
      <c r="Y79" s="17"/>
      <c r="Z79" s="17"/>
      <c r="AA79" s="17"/>
      <c r="AB79" s="17"/>
      <c r="AC79" s="17"/>
      <c r="AD79" s="17"/>
      <c r="AE79" s="17"/>
      <c r="AF79" s="17"/>
      <c r="AG79" s="77" t="s">
        <v>16</v>
      </c>
      <c r="AH79" s="17" t="s">
        <v>905</v>
      </c>
    </row>
    <row r="80" spans="1:34" ht="35.25" customHeight="1">
      <c r="A80" s="53" t="s">
        <v>1068</v>
      </c>
      <c r="B80" s="21" t="s">
        <v>1069</v>
      </c>
      <c r="C80" s="17" t="s">
        <v>1070</v>
      </c>
      <c r="D80" s="17" t="s">
        <v>964</v>
      </c>
      <c r="E80" s="17" t="str" cm="1">
        <f t="array" ref="E8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80" s="17" t="s">
        <v>239</v>
      </c>
      <c r="G80" s="17" t="str" cm="1">
        <f t="array" ref="G8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80" s="17" t="s">
        <v>375</v>
      </c>
      <c r="I80" s="17" t="s">
        <v>964</v>
      </c>
      <c r="J80" s="17" t="s">
        <v>965</v>
      </c>
      <c r="K80" s="17" t="s">
        <v>16</v>
      </c>
      <c r="L80" s="17" t="s">
        <v>16</v>
      </c>
      <c r="M80" s="17" t="s">
        <v>16</v>
      </c>
      <c r="N80" s="17" t="s">
        <v>16</v>
      </c>
      <c r="O80" s="17" t="s">
        <v>892</v>
      </c>
      <c r="P80" s="17" t="s">
        <v>892</v>
      </c>
      <c r="Q80" s="17"/>
      <c r="R80" s="17" t="s">
        <v>892</v>
      </c>
      <c r="S80" s="17" t="s">
        <v>892</v>
      </c>
      <c r="T80" s="17" t="s">
        <v>892</v>
      </c>
      <c r="U80" s="17" t="s">
        <v>892</v>
      </c>
      <c r="V80" s="17"/>
      <c r="W80" s="17" t="s">
        <v>966</v>
      </c>
      <c r="X80" s="17"/>
      <c r="Y80" s="17"/>
      <c r="Z80" s="17"/>
      <c r="AA80" s="17"/>
      <c r="AB80" s="17"/>
      <c r="AC80" s="17"/>
      <c r="AD80" s="17"/>
      <c r="AE80" s="17"/>
      <c r="AF80" s="17"/>
      <c r="AG80" s="77" t="s">
        <v>16</v>
      </c>
      <c r="AH80" s="17" t="s">
        <v>905</v>
      </c>
    </row>
    <row r="81" spans="1:34" ht="35.25" customHeight="1">
      <c r="A81" s="53" t="s">
        <v>1071</v>
      </c>
      <c r="B81" s="21" t="s">
        <v>1072</v>
      </c>
      <c r="C81" s="17" t="s">
        <v>1073</v>
      </c>
      <c r="D81" s="17" t="s">
        <v>964</v>
      </c>
      <c r="E81" s="17" t="str" cm="1">
        <f t="array" ref="E8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81" s="17" t="s">
        <v>239</v>
      </c>
      <c r="G81" s="17" t="str" cm="1">
        <f t="array" ref="G8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81" s="17" t="s">
        <v>375</v>
      </c>
      <c r="I81" s="17" t="s">
        <v>964</v>
      </c>
      <c r="J81" s="17" t="s">
        <v>965</v>
      </c>
      <c r="K81" s="17" t="s">
        <v>16</v>
      </c>
      <c r="L81" s="17" t="s">
        <v>16</v>
      </c>
      <c r="M81" s="17" t="s">
        <v>16</v>
      </c>
      <c r="N81" s="17" t="s">
        <v>16</v>
      </c>
      <c r="O81" s="17" t="s">
        <v>892</v>
      </c>
      <c r="P81" s="17" t="s">
        <v>892</v>
      </c>
      <c r="Q81" s="17"/>
      <c r="R81" s="17" t="s">
        <v>892</v>
      </c>
      <c r="S81" s="17" t="s">
        <v>892</v>
      </c>
      <c r="T81" s="17" t="s">
        <v>892</v>
      </c>
      <c r="U81" s="17" t="s">
        <v>892</v>
      </c>
      <c r="V81" s="17"/>
      <c r="W81" s="17" t="s">
        <v>966</v>
      </c>
      <c r="X81" s="17"/>
      <c r="Y81" s="17"/>
      <c r="Z81" s="17"/>
      <c r="AA81" s="17"/>
      <c r="AB81" s="17"/>
      <c r="AC81" s="17"/>
      <c r="AD81" s="17"/>
      <c r="AE81" s="17"/>
      <c r="AF81" s="17"/>
      <c r="AG81" s="77" t="s">
        <v>16</v>
      </c>
      <c r="AH81" s="17" t="s">
        <v>905</v>
      </c>
    </row>
    <row r="82" spans="1:34" s="74" customFormat="1" ht="35.25" customHeight="1">
      <c r="A82" s="53" t="s">
        <v>1074</v>
      </c>
      <c r="B82" s="21" t="s">
        <v>1075</v>
      </c>
      <c r="C82" s="17" t="s">
        <v>1076</v>
      </c>
      <c r="D82" s="17" t="s">
        <v>964</v>
      </c>
      <c r="E82" s="17" t="str" cm="1">
        <f t="array" ref="E8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82" s="17" t="s">
        <v>239</v>
      </c>
      <c r="G82" s="17" t="str" cm="1">
        <f t="array" ref="G8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82" s="17" t="s">
        <v>375</v>
      </c>
      <c r="I82" s="17" t="s">
        <v>964</v>
      </c>
      <c r="J82" s="17" t="s">
        <v>965</v>
      </c>
      <c r="K82" s="17" t="s">
        <v>16</v>
      </c>
      <c r="L82" s="17" t="s">
        <v>16</v>
      </c>
      <c r="M82" s="17" t="s">
        <v>16</v>
      </c>
      <c r="N82" s="17" t="s">
        <v>16</v>
      </c>
      <c r="O82" s="17" t="s">
        <v>891</v>
      </c>
      <c r="P82" s="17" t="s">
        <v>891</v>
      </c>
      <c r="Q82" s="17"/>
      <c r="R82" s="17" t="s">
        <v>892</v>
      </c>
      <c r="S82" s="17" t="s">
        <v>892</v>
      </c>
      <c r="T82" s="17" t="s">
        <v>892</v>
      </c>
      <c r="U82" s="17" t="s">
        <v>892</v>
      </c>
      <c r="V82" s="17"/>
      <c r="W82" s="17" t="s">
        <v>966</v>
      </c>
      <c r="X82" s="17"/>
      <c r="Y82" s="17"/>
      <c r="Z82" s="17"/>
      <c r="AA82" s="17"/>
      <c r="AB82" s="17"/>
      <c r="AC82" s="17"/>
      <c r="AD82" s="17"/>
      <c r="AE82" s="17"/>
      <c r="AF82" s="17"/>
      <c r="AG82" s="77" t="s">
        <v>16</v>
      </c>
      <c r="AH82" s="17" t="s">
        <v>905</v>
      </c>
    </row>
    <row r="83" spans="1:34" ht="35.25" customHeight="1">
      <c r="A83" s="53" t="s">
        <v>1077</v>
      </c>
      <c r="B83" s="21" t="s">
        <v>1078</v>
      </c>
      <c r="C83" s="17" t="s">
        <v>1079</v>
      </c>
      <c r="D83" s="17" t="s">
        <v>964</v>
      </c>
      <c r="E83" s="17" t="str" cm="1">
        <f t="array" ref="E8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83" s="17" t="s">
        <v>239</v>
      </c>
      <c r="G83" s="17" t="str" cm="1">
        <f t="array" ref="G8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83" s="17" t="s">
        <v>375</v>
      </c>
      <c r="I83" s="17" t="s">
        <v>964</v>
      </c>
      <c r="J83" s="17" t="s">
        <v>965</v>
      </c>
      <c r="K83" s="17" t="s">
        <v>16</v>
      </c>
      <c r="L83" s="17" t="s">
        <v>16</v>
      </c>
      <c r="M83" s="17" t="s">
        <v>16</v>
      </c>
      <c r="N83" s="17" t="s">
        <v>16</v>
      </c>
      <c r="O83" s="17" t="s">
        <v>891</v>
      </c>
      <c r="P83" s="17" t="s">
        <v>891</v>
      </c>
      <c r="Q83" s="17"/>
      <c r="R83" s="17" t="s">
        <v>892</v>
      </c>
      <c r="S83" s="17" t="s">
        <v>892</v>
      </c>
      <c r="T83" s="17" t="s">
        <v>892</v>
      </c>
      <c r="U83" s="17" t="s">
        <v>892</v>
      </c>
      <c r="V83" s="17"/>
      <c r="W83" s="17" t="s">
        <v>966</v>
      </c>
      <c r="X83" s="17"/>
      <c r="Y83" s="17"/>
      <c r="Z83" s="17"/>
      <c r="AA83" s="17"/>
      <c r="AB83" s="17"/>
      <c r="AC83" s="17"/>
      <c r="AD83" s="17"/>
      <c r="AE83" s="17"/>
      <c r="AF83" s="17"/>
      <c r="AG83" s="77" t="s">
        <v>16</v>
      </c>
      <c r="AH83" s="17" t="s">
        <v>905</v>
      </c>
    </row>
    <row r="84" spans="1:34" s="74" customFormat="1" ht="35.25" customHeight="1">
      <c r="A84" s="53" t="s">
        <v>1080</v>
      </c>
      <c r="B84" s="21" t="s">
        <v>1081</v>
      </c>
      <c r="C84" s="17" t="s">
        <v>1082</v>
      </c>
      <c r="D84" s="17" t="s">
        <v>964</v>
      </c>
      <c r="E84" s="17" t="str" cm="1">
        <f t="array" ref="E8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84" s="17" t="s">
        <v>239</v>
      </c>
      <c r="G84" s="17" t="str" cm="1">
        <f t="array" ref="G8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84" s="17" t="s">
        <v>375</v>
      </c>
      <c r="I84" s="17" t="s">
        <v>964</v>
      </c>
      <c r="J84" s="17" t="s">
        <v>965</v>
      </c>
      <c r="K84" s="17" t="s">
        <v>16</v>
      </c>
      <c r="L84" s="17" t="s">
        <v>16</v>
      </c>
      <c r="M84" s="17" t="s">
        <v>16</v>
      </c>
      <c r="N84" s="17" t="s">
        <v>16</v>
      </c>
      <c r="O84" s="17" t="s">
        <v>892</v>
      </c>
      <c r="P84" s="17" t="s">
        <v>892</v>
      </c>
      <c r="Q84" s="17"/>
      <c r="R84" s="17" t="s">
        <v>892</v>
      </c>
      <c r="S84" s="17" t="s">
        <v>892</v>
      </c>
      <c r="T84" s="17" t="s">
        <v>892</v>
      </c>
      <c r="U84" s="17" t="s">
        <v>892</v>
      </c>
      <c r="V84" s="17"/>
      <c r="W84" s="17" t="s">
        <v>966</v>
      </c>
      <c r="X84" s="17"/>
      <c r="Y84" s="17"/>
      <c r="Z84" s="17"/>
      <c r="AA84" s="17"/>
      <c r="AB84" s="17"/>
      <c r="AC84" s="17"/>
      <c r="AD84" s="17"/>
      <c r="AE84" s="17"/>
      <c r="AF84" s="17"/>
      <c r="AG84" s="77" t="s">
        <v>16</v>
      </c>
      <c r="AH84" s="17" t="s">
        <v>905</v>
      </c>
    </row>
    <row r="85" spans="1:34" ht="35.25" customHeight="1">
      <c r="A85" s="53" t="s">
        <v>1083</v>
      </c>
      <c r="B85" s="21" t="s">
        <v>1084</v>
      </c>
      <c r="C85" s="17" t="s">
        <v>1085</v>
      </c>
      <c r="D85" s="17" t="s">
        <v>964</v>
      </c>
      <c r="E85" s="17" t="str" cm="1">
        <f t="array" ref="E8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85" s="17" t="s">
        <v>239</v>
      </c>
      <c r="G85" s="17" t="str" cm="1">
        <f t="array" ref="G8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85" s="17" t="s">
        <v>375</v>
      </c>
      <c r="I85" s="17" t="s">
        <v>964</v>
      </c>
      <c r="J85" s="17" t="s">
        <v>965</v>
      </c>
      <c r="K85" s="17" t="s">
        <v>16</v>
      </c>
      <c r="L85" s="17" t="s">
        <v>16</v>
      </c>
      <c r="M85" s="17" t="s">
        <v>16</v>
      </c>
      <c r="N85" s="17" t="s">
        <v>16</v>
      </c>
      <c r="O85" s="17" t="s">
        <v>891</v>
      </c>
      <c r="P85" s="17" t="s">
        <v>892</v>
      </c>
      <c r="Q85" s="17"/>
      <c r="R85" s="17" t="s">
        <v>892</v>
      </c>
      <c r="S85" s="17" t="s">
        <v>892</v>
      </c>
      <c r="T85" s="17" t="s">
        <v>892</v>
      </c>
      <c r="U85" s="17" t="s">
        <v>892</v>
      </c>
      <c r="V85" s="17"/>
      <c r="W85" s="17" t="s">
        <v>966</v>
      </c>
      <c r="X85" s="17"/>
      <c r="Y85" s="17"/>
      <c r="Z85" s="17"/>
      <c r="AA85" s="17"/>
      <c r="AB85" s="17"/>
      <c r="AC85" s="17"/>
      <c r="AD85" s="17"/>
      <c r="AE85" s="17"/>
      <c r="AF85" s="17"/>
      <c r="AG85" s="77" t="s">
        <v>16</v>
      </c>
      <c r="AH85" s="17" t="s">
        <v>905</v>
      </c>
    </row>
    <row r="86" spans="1:34" ht="35.25" customHeight="1">
      <c r="A86" s="53" t="s">
        <v>1086</v>
      </c>
      <c r="B86" s="21" t="s">
        <v>1087</v>
      </c>
      <c r="C86" s="17" t="s">
        <v>1088</v>
      </c>
      <c r="D86" s="17" t="s">
        <v>964</v>
      </c>
      <c r="E86" s="17" t="str" cm="1">
        <f t="array" ref="E8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86" s="17" t="s">
        <v>35</v>
      </c>
      <c r="G86" s="17" t="str" cm="1">
        <f t="array" ref="G8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86" s="17" t="s">
        <v>375</v>
      </c>
      <c r="I86" s="17" t="s">
        <v>964</v>
      </c>
      <c r="J86" s="17" t="s">
        <v>944</v>
      </c>
      <c r="K86" s="17" t="s">
        <v>16</v>
      </c>
      <c r="L86" s="17" t="s">
        <v>16</v>
      </c>
      <c r="M86" s="17" t="s">
        <v>16</v>
      </c>
      <c r="N86" s="17" t="s">
        <v>16</v>
      </c>
      <c r="O86" s="17" t="s">
        <v>913</v>
      </c>
      <c r="P86" s="17" t="s">
        <v>892</v>
      </c>
      <c r="Q86" s="17"/>
      <c r="R86" s="17" t="s">
        <v>892</v>
      </c>
      <c r="S86" s="17" t="s">
        <v>892</v>
      </c>
      <c r="T86" s="17" t="s">
        <v>892</v>
      </c>
      <c r="U86" s="17" t="s">
        <v>892</v>
      </c>
      <c r="V86" s="17"/>
      <c r="W86" s="17" t="s">
        <v>966</v>
      </c>
      <c r="X86" s="17"/>
      <c r="Y86" s="17"/>
      <c r="Z86" s="17"/>
      <c r="AA86" s="17"/>
      <c r="AB86" s="17"/>
      <c r="AC86" s="17"/>
      <c r="AD86" s="17"/>
      <c r="AE86" s="17"/>
      <c r="AF86" s="17"/>
      <c r="AG86" s="77" t="s">
        <v>16</v>
      </c>
      <c r="AH86" s="17" t="s">
        <v>905</v>
      </c>
    </row>
    <row r="87" spans="1:34" s="74" customFormat="1" ht="35.25" customHeight="1">
      <c r="A87" s="53" t="s">
        <v>1089</v>
      </c>
      <c r="B87" s="21" t="s">
        <v>1090</v>
      </c>
      <c r="C87" s="17" t="s">
        <v>1091</v>
      </c>
      <c r="D87" s="17" t="s">
        <v>964</v>
      </c>
      <c r="E87" s="17" t="str" cm="1">
        <f t="array" ref="E8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87" s="17" t="s">
        <v>32</v>
      </c>
      <c r="G87" s="17" t="str" cm="1">
        <f t="array" ref="G8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87" s="17" t="s">
        <v>375</v>
      </c>
      <c r="I87" s="17" t="s">
        <v>964</v>
      </c>
      <c r="J87" s="17" t="s">
        <v>944</v>
      </c>
      <c r="K87" s="17" t="s">
        <v>16</v>
      </c>
      <c r="L87" s="17" t="s">
        <v>16</v>
      </c>
      <c r="M87" s="17" t="s">
        <v>16</v>
      </c>
      <c r="N87" s="17" t="s">
        <v>16</v>
      </c>
      <c r="O87" s="17" t="s">
        <v>913</v>
      </c>
      <c r="P87" s="17" t="s">
        <v>892</v>
      </c>
      <c r="Q87" s="17"/>
      <c r="R87" s="17" t="s">
        <v>892</v>
      </c>
      <c r="S87" s="17" t="s">
        <v>892</v>
      </c>
      <c r="T87" s="17" t="s">
        <v>892</v>
      </c>
      <c r="U87" s="17" t="s">
        <v>892</v>
      </c>
      <c r="V87" s="17"/>
      <c r="W87" s="17" t="s">
        <v>966</v>
      </c>
      <c r="X87" s="17"/>
      <c r="Y87" s="17"/>
      <c r="Z87" s="17"/>
      <c r="AA87" s="17"/>
      <c r="AB87" s="17"/>
      <c r="AC87" s="17"/>
      <c r="AD87" s="17"/>
      <c r="AE87" s="17"/>
      <c r="AF87" s="17"/>
      <c r="AG87" s="77" t="s">
        <v>16</v>
      </c>
      <c r="AH87" s="17" t="s">
        <v>905</v>
      </c>
    </row>
    <row r="88" spans="1:34" ht="35.25" customHeight="1">
      <c r="A88" s="53" t="s">
        <v>1092</v>
      </c>
      <c r="B88" s="21" t="s">
        <v>1093</v>
      </c>
      <c r="C88" s="17" t="s">
        <v>1094</v>
      </c>
      <c r="D88" s="17" t="s">
        <v>964</v>
      </c>
      <c r="E88" s="17" t="str" cm="1">
        <f t="array" ref="E8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88" s="17" t="s">
        <v>32</v>
      </c>
      <c r="G88" s="17" t="str" cm="1">
        <f t="array" ref="G8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88" s="17" t="s">
        <v>375</v>
      </c>
      <c r="I88" s="17" t="s">
        <v>964</v>
      </c>
      <c r="J88" s="17" t="s">
        <v>944</v>
      </c>
      <c r="K88" s="17" t="s">
        <v>16</v>
      </c>
      <c r="L88" s="17" t="s">
        <v>16</v>
      </c>
      <c r="M88" s="17" t="s">
        <v>16</v>
      </c>
      <c r="N88" s="17" t="s">
        <v>16</v>
      </c>
      <c r="O88" s="17" t="s">
        <v>892</v>
      </c>
      <c r="P88" s="17" t="s">
        <v>892</v>
      </c>
      <c r="Q88" s="17"/>
      <c r="R88" s="17" t="s">
        <v>892</v>
      </c>
      <c r="S88" s="17" t="s">
        <v>892</v>
      </c>
      <c r="T88" s="17" t="s">
        <v>892</v>
      </c>
      <c r="U88" s="17" t="s">
        <v>892</v>
      </c>
      <c r="V88" s="17"/>
      <c r="W88" s="17" t="s">
        <v>966</v>
      </c>
      <c r="X88" s="17"/>
      <c r="Y88" s="17"/>
      <c r="Z88" s="17"/>
      <c r="AA88" s="17"/>
      <c r="AB88" s="17"/>
      <c r="AC88" s="17"/>
      <c r="AD88" s="17"/>
      <c r="AE88" s="17"/>
      <c r="AF88" s="17"/>
      <c r="AG88" s="77" t="s">
        <v>16</v>
      </c>
      <c r="AH88" s="17" t="s">
        <v>988</v>
      </c>
    </row>
    <row r="89" spans="1:34" ht="35.25" customHeight="1">
      <c r="A89" s="53" t="s">
        <v>1095</v>
      </c>
      <c r="B89" s="21" t="s">
        <v>1096</v>
      </c>
      <c r="C89" s="17" t="s">
        <v>1097</v>
      </c>
      <c r="D89" s="17" t="s">
        <v>964</v>
      </c>
      <c r="E89" s="17" t="str" cm="1">
        <f t="array" ref="E8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89" s="17" t="s">
        <v>32</v>
      </c>
      <c r="G89" s="17" t="str" cm="1">
        <f t="array" ref="G8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89" s="17" t="s">
        <v>375</v>
      </c>
      <c r="I89" s="17" t="s">
        <v>964</v>
      </c>
      <c r="J89" s="17" t="s">
        <v>944</v>
      </c>
      <c r="K89" s="17" t="s">
        <v>16</v>
      </c>
      <c r="L89" s="17" t="s">
        <v>16</v>
      </c>
      <c r="M89" s="17" t="s">
        <v>16</v>
      </c>
      <c r="N89" s="17" t="s">
        <v>16</v>
      </c>
      <c r="O89" s="17" t="s">
        <v>892</v>
      </c>
      <c r="P89" s="17" t="s">
        <v>892</v>
      </c>
      <c r="Q89" s="17"/>
      <c r="R89" s="17" t="s">
        <v>892</v>
      </c>
      <c r="S89" s="17" t="s">
        <v>892</v>
      </c>
      <c r="T89" s="17" t="s">
        <v>892</v>
      </c>
      <c r="U89" s="17" t="s">
        <v>892</v>
      </c>
      <c r="V89" s="17"/>
      <c r="W89" s="17" t="s">
        <v>966</v>
      </c>
      <c r="X89" s="17"/>
      <c r="Y89" s="17"/>
      <c r="Z89" s="17"/>
      <c r="AA89" s="17"/>
      <c r="AB89" s="17"/>
      <c r="AC89" s="17"/>
      <c r="AD89" s="17"/>
      <c r="AE89" s="17"/>
      <c r="AF89" s="17"/>
      <c r="AG89" s="77" t="s">
        <v>16</v>
      </c>
      <c r="AH89" s="17" t="s">
        <v>988</v>
      </c>
    </row>
    <row r="90" spans="1:34" ht="35.25" customHeight="1">
      <c r="A90" s="53" t="s">
        <v>1098</v>
      </c>
      <c r="B90" s="21" t="s">
        <v>1099</v>
      </c>
      <c r="C90" s="17" t="s">
        <v>1100</v>
      </c>
      <c r="D90" s="17" t="s">
        <v>964</v>
      </c>
      <c r="E90" s="17" t="str" cm="1">
        <f t="array" ref="E9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90" s="17" t="s">
        <v>32</v>
      </c>
      <c r="G90" s="17" t="str" cm="1">
        <f t="array" ref="G9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90" s="17" t="s">
        <v>26</v>
      </c>
      <c r="I90" s="17" t="s">
        <v>964</v>
      </c>
      <c r="J90" s="17" t="s">
        <v>944</v>
      </c>
      <c r="K90" s="17" t="s">
        <v>16</v>
      </c>
      <c r="L90" s="17" t="s">
        <v>16</v>
      </c>
      <c r="M90" s="17" t="s">
        <v>16</v>
      </c>
      <c r="N90" s="17" t="s">
        <v>16</v>
      </c>
      <c r="O90" s="17" t="s">
        <v>891</v>
      </c>
      <c r="P90" s="17" t="s">
        <v>892</v>
      </c>
      <c r="Q90" s="17"/>
      <c r="R90" s="17" t="s">
        <v>892</v>
      </c>
      <c r="S90" s="17" t="s">
        <v>892</v>
      </c>
      <c r="T90" s="17" t="s">
        <v>892</v>
      </c>
      <c r="U90" s="17" t="s">
        <v>892</v>
      </c>
      <c r="V90" s="17"/>
      <c r="W90" s="17" t="s">
        <v>966</v>
      </c>
      <c r="X90" s="17"/>
      <c r="Y90" s="17"/>
      <c r="Z90" s="17"/>
      <c r="AA90" s="17"/>
      <c r="AB90" s="17"/>
      <c r="AC90" s="17"/>
      <c r="AD90" s="17"/>
      <c r="AE90" s="17"/>
      <c r="AF90" s="17"/>
      <c r="AG90" s="77" t="s">
        <v>16</v>
      </c>
      <c r="AH90" s="17" t="s">
        <v>905</v>
      </c>
    </row>
    <row r="91" spans="1:34" ht="35.25" customHeight="1">
      <c r="A91" s="53" t="s">
        <v>1101</v>
      </c>
      <c r="B91" s="21" t="s">
        <v>1102</v>
      </c>
      <c r="C91" s="17" t="s">
        <v>1103</v>
      </c>
      <c r="D91" s="17" t="s">
        <v>964</v>
      </c>
      <c r="E91" s="17" t="str" cm="1">
        <f t="array" ref="E9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91" s="17" t="s">
        <v>32</v>
      </c>
      <c r="G91" s="17" t="str" cm="1">
        <f t="array" ref="G9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91" s="17" t="s">
        <v>375</v>
      </c>
      <c r="I91" s="17" t="s">
        <v>964</v>
      </c>
      <c r="J91" s="17" t="s">
        <v>944</v>
      </c>
      <c r="K91" s="17" t="s">
        <v>16</v>
      </c>
      <c r="L91" s="17" t="s">
        <v>16</v>
      </c>
      <c r="M91" s="17" t="s">
        <v>16</v>
      </c>
      <c r="N91" s="17" t="s">
        <v>16</v>
      </c>
      <c r="O91" s="17" t="s">
        <v>891</v>
      </c>
      <c r="P91" s="17" t="s">
        <v>892</v>
      </c>
      <c r="Q91" s="17"/>
      <c r="R91" s="17" t="s">
        <v>892</v>
      </c>
      <c r="S91" s="17" t="s">
        <v>892</v>
      </c>
      <c r="T91" s="17" t="s">
        <v>892</v>
      </c>
      <c r="U91" s="17" t="s">
        <v>892</v>
      </c>
      <c r="V91" s="17"/>
      <c r="W91" s="17" t="s">
        <v>966</v>
      </c>
      <c r="X91" s="17"/>
      <c r="Y91" s="17"/>
      <c r="Z91" s="17"/>
      <c r="AA91" s="17"/>
      <c r="AB91" s="17"/>
      <c r="AC91" s="17"/>
      <c r="AD91" s="17"/>
      <c r="AE91" s="17"/>
      <c r="AF91" s="17"/>
      <c r="AG91" s="77" t="s">
        <v>16</v>
      </c>
      <c r="AH91" s="17" t="s">
        <v>905</v>
      </c>
    </row>
    <row r="92" spans="1:34" ht="35.25" customHeight="1">
      <c r="A92" s="53" t="s">
        <v>1104</v>
      </c>
      <c r="B92" s="53" t="s">
        <v>449</v>
      </c>
      <c r="C92" s="17" t="s">
        <v>450</v>
      </c>
      <c r="D92" s="17" t="s">
        <v>1105</v>
      </c>
      <c r="E92" s="17" t="s">
        <v>451</v>
      </c>
      <c r="F92" s="17" t="s">
        <v>32</v>
      </c>
      <c r="G92" s="17" t="s">
        <v>53</v>
      </c>
      <c r="H92" s="17" t="s">
        <v>1106</v>
      </c>
      <c r="I92" s="17" t="s">
        <v>453</v>
      </c>
      <c r="J92" s="17" t="s">
        <v>423</v>
      </c>
      <c r="K92" s="17" t="s">
        <v>16</v>
      </c>
      <c r="L92" s="17" t="s">
        <v>16</v>
      </c>
      <c r="M92" s="17" t="s">
        <v>16</v>
      </c>
      <c r="N92" s="17" t="s">
        <v>16</v>
      </c>
      <c r="O92" s="17" t="s">
        <v>913</v>
      </c>
      <c r="P92" s="17" t="s">
        <v>892</v>
      </c>
      <c r="Q92" s="17"/>
      <c r="R92" s="17" t="s">
        <v>892</v>
      </c>
      <c r="S92" s="17" t="s">
        <v>892</v>
      </c>
      <c r="T92" s="17" t="s">
        <v>892</v>
      </c>
      <c r="U92" s="17" t="s">
        <v>892</v>
      </c>
      <c r="V92" s="17"/>
      <c r="W92" s="17" t="s">
        <v>854</v>
      </c>
      <c r="X92" s="17"/>
      <c r="Y92" s="17"/>
      <c r="Z92" s="17"/>
      <c r="AA92" s="17"/>
      <c r="AB92" s="17"/>
      <c r="AC92" s="17"/>
      <c r="AD92" s="17"/>
      <c r="AE92" s="17"/>
      <c r="AF92" s="17"/>
      <c r="AG92" s="17"/>
      <c r="AH92" s="17" t="s">
        <v>905</v>
      </c>
    </row>
    <row r="93" spans="1:34" ht="35.25" customHeight="1">
      <c r="A93" s="53" t="s">
        <v>1107</v>
      </c>
      <c r="B93" s="53" t="s">
        <v>454</v>
      </c>
      <c r="C93" s="17" t="s">
        <v>455</v>
      </c>
      <c r="D93" s="17" t="s">
        <v>1105</v>
      </c>
      <c r="E93" s="17" t="s">
        <v>451</v>
      </c>
      <c r="F93" s="17" t="s">
        <v>32</v>
      </c>
      <c r="G93" s="17" t="s">
        <v>31</v>
      </c>
      <c r="H93" s="17" t="s">
        <v>1108</v>
      </c>
      <c r="I93" s="17" t="s">
        <v>231</v>
      </c>
      <c r="J93" s="17" t="s">
        <v>456</v>
      </c>
      <c r="K93" s="17" t="s">
        <v>16</v>
      </c>
      <c r="L93" s="17" t="s">
        <v>16</v>
      </c>
      <c r="M93" s="17" t="s">
        <v>16</v>
      </c>
      <c r="N93" s="17" t="s">
        <v>16</v>
      </c>
      <c r="O93" s="17" t="s">
        <v>892</v>
      </c>
      <c r="P93" s="17" t="s">
        <v>892</v>
      </c>
      <c r="Q93" s="17"/>
      <c r="R93" s="17" t="s">
        <v>892</v>
      </c>
      <c r="S93" s="17" t="s">
        <v>892</v>
      </c>
      <c r="T93" s="17" t="s">
        <v>892</v>
      </c>
      <c r="U93" s="17" t="s">
        <v>892</v>
      </c>
      <c r="V93" s="17"/>
      <c r="W93" s="17" t="s">
        <v>854</v>
      </c>
      <c r="X93" s="17"/>
      <c r="Y93" s="17"/>
      <c r="Z93" s="17"/>
      <c r="AA93" s="17"/>
      <c r="AB93" s="17"/>
      <c r="AC93" s="17"/>
      <c r="AD93" s="17"/>
      <c r="AE93" s="17"/>
      <c r="AF93" s="17"/>
      <c r="AG93" s="17"/>
      <c r="AH93" s="17" t="s">
        <v>905</v>
      </c>
    </row>
    <row r="94" spans="1:34" ht="35.25" customHeight="1">
      <c r="A94" s="53" t="s">
        <v>1109</v>
      </c>
      <c r="B94" s="21" t="s">
        <v>457</v>
      </c>
      <c r="C94" s="17" t="s">
        <v>458</v>
      </c>
      <c r="D94" s="17" t="s">
        <v>1105</v>
      </c>
      <c r="E94" s="17" t="s">
        <v>459</v>
      </c>
      <c r="F94" s="17" t="s">
        <v>25</v>
      </c>
      <c r="G94" s="17" t="s">
        <v>437</v>
      </c>
      <c r="H94" s="17" t="s">
        <v>1110</v>
      </c>
      <c r="I94" s="17" t="s">
        <v>231</v>
      </c>
      <c r="J94" s="17" t="s">
        <v>341</v>
      </c>
      <c r="K94" s="17" t="s">
        <v>16</v>
      </c>
      <c r="L94" s="17" t="s">
        <v>16</v>
      </c>
      <c r="M94" s="17" t="s">
        <v>16</v>
      </c>
      <c r="N94" s="17" t="s">
        <v>16</v>
      </c>
      <c r="O94" s="17" t="s">
        <v>891</v>
      </c>
      <c r="P94" s="17" t="s">
        <v>892</v>
      </c>
      <c r="Q94" s="17"/>
      <c r="R94" s="17" t="s">
        <v>892</v>
      </c>
      <c r="S94" s="17" t="s">
        <v>892</v>
      </c>
      <c r="T94" s="17" t="s">
        <v>892</v>
      </c>
      <c r="U94" s="17" t="s">
        <v>892</v>
      </c>
      <c r="V94" s="17"/>
      <c r="W94" s="17" t="s">
        <v>854</v>
      </c>
      <c r="X94" s="17"/>
      <c r="Y94" s="17"/>
      <c r="Z94" s="17"/>
      <c r="AA94" s="17"/>
      <c r="AB94" s="17"/>
      <c r="AC94" s="17"/>
      <c r="AD94" s="17"/>
      <c r="AE94" s="17"/>
      <c r="AF94" s="17"/>
      <c r="AG94" s="17"/>
      <c r="AH94" s="17" t="s">
        <v>905</v>
      </c>
    </row>
    <row r="95" spans="1:34" ht="35.25" customHeight="1">
      <c r="A95" s="53" t="s">
        <v>1111</v>
      </c>
      <c r="B95" s="21" t="s">
        <v>460</v>
      </c>
      <c r="C95" s="17" t="s">
        <v>1112</v>
      </c>
      <c r="D95" s="17" t="s">
        <v>1105</v>
      </c>
      <c r="E95" s="17" t="s">
        <v>448</v>
      </c>
      <c r="F95" s="17" t="s">
        <v>67</v>
      </c>
      <c r="G95" s="17" t="s">
        <v>12</v>
      </c>
      <c r="H95" s="17" t="s">
        <v>1113</v>
      </c>
      <c r="I95" s="17" t="s">
        <v>231</v>
      </c>
      <c r="J95" s="17" t="s">
        <v>357</v>
      </c>
      <c r="K95" s="17" t="s">
        <v>16</v>
      </c>
      <c r="L95" s="17" t="s">
        <v>16</v>
      </c>
      <c r="M95" s="17" t="s">
        <v>16</v>
      </c>
      <c r="N95" s="17" t="s">
        <v>16</v>
      </c>
      <c r="O95" s="17" t="s">
        <v>913</v>
      </c>
      <c r="P95" s="17" t="s">
        <v>892</v>
      </c>
      <c r="Q95" s="17"/>
      <c r="R95" s="17" t="s">
        <v>892</v>
      </c>
      <c r="S95" s="17" t="s">
        <v>892</v>
      </c>
      <c r="T95" s="17" t="s">
        <v>892</v>
      </c>
      <c r="U95" s="17" t="s">
        <v>892</v>
      </c>
      <c r="V95" s="17"/>
      <c r="W95" s="17" t="s">
        <v>952</v>
      </c>
      <c r="X95" s="17"/>
      <c r="Y95" s="17"/>
      <c r="Z95" s="17"/>
      <c r="AA95" s="17"/>
      <c r="AB95" s="17"/>
      <c r="AC95" s="17"/>
      <c r="AD95" s="17"/>
      <c r="AE95" s="17"/>
      <c r="AF95" s="17"/>
      <c r="AG95" s="17"/>
      <c r="AH95" s="17" t="s">
        <v>905</v>
      </c>
    </row>
    <row r="96" spans="1:34" ht="35.25" customHeight="1">
      <c r="A96" s="53" t="s">
        <v>1114</v>
      </c>
      <c r="B96" s="21" t="s">
        <v>462</v>
      </c>
      <c r="C96" s="17" t="s">
        <v>1115</v>
      </c>
      <c r="D96" s="17" t="s">
        <v>1105</v>
      </c>
      <c r="E96" s="17" t="s">
        <v>448</v>
      </c>
      <c r="F96" s="17" t="s">
        <v>67</v>
      </c>
      <c r="G96" s="17" t="s">
        <v>12</v>
      </c>
      <c r="H96" s="17" t="s">
        <v>1113</v>
      </c>
      <c r="I96" s="17" t="s">
        <v>231</v>
      </c>
      <c r="J96" s="17" t="s">
        <v>357</v>
      </c>
      <c r="K96" s="17" t="s">
        <v>16</v>
      </c>
      <c r="L96" s="17" t="s">
        <v>16</v>
      </c>
      <c r="M96" s="17" t="s">
        <v>16</v>
      </c>
      <c r="N96" s="17" t="s">
        <v>16</v>
      </c>
      <c r="O96" s="17" t="s">
        <v>913</v>
      </c>
      <c r="P96" s="17" t="s">
        <v>892</v>
      </c>
      <c r="Q96" s="17"/>
      <c r="R96" s="17" t="s">
        <v>892</v>
      </c>
      <c r="S96" s="17" t="s">
        <v>892</v>
      </c>
      <c r="T96" s="17" t="s">
        <v>892</v>
      </c>
      <c r="U96" s="17" t="s">
        <v>892</v>
      </c>
      <c r="V96" s="17"/>
      <c r="W96" s="17" t="s">
        <v>952</v>
      </c>
      <c r="X96" s="17"/>
      <c r="Y96" s="17"/>
      <c r="Z96" s="17"/>
      <c r="AA96" s="17"/>
      <c r="AB96" s="17"/>
      <c r="AC96" s="17"/>
      <c r="AD96" s="17"/>
      <c r="AE96" s="17"/>
      <c r="AF96" s="17"/>
      <c r="AG96" s="17"/>
      <c r="AH96" s="17" t="s">
        <v>905</v>
      </c>
    </row>
    <row r="97" spans="1:34" ht="35.25" customHeight="1">
      <c r="A97" s="53" t="s">
        <v>1116</v>
      </c>
      <c r="B97" s="21" t="s">
        <v>464</v>
      </c>
      <c r="C97" s="17" t="s">
        <v>465</v>
      </c>
      <c r="D97" s="17" t="s">
        <v>1105</v>
      </c>
      <c r="E97" s="17" t="s">
        <v>451</v>
      </c>
      <c r="F97" s="17" t="s">
        <v>32</v>
      </c>
      <c r="G97" s="17" t="s">
        <v>31</v>
      </c>
      <c r="H97" s="17" t="s">
        <v>1106</v>
      </c>
      <c r="I97" s="17" t="s">
        <v>231</v>
      </c>
      <c r="J97" s="17" t="s">
        <v>944</v>
      </c>
      <c r="K97" s="17" t="s">
        <v>16</v>
      </c>
      <c r="L97" s="17" t="s">
        <v>16</v>
      </c>
      <c r="M97" s="17" t="s">
        <v>16</v>
      </c>
      <c r="N97" s="17" t="s">
        <v>16</v>
      </c>
      <c r="O97" s="17" t="s">
        <v>913</v>
      </c>
      <c r="P97" s="17" t="s">
        <v>892</v>
      </c>
      <c r="Q97" s="17"/>
      <c r="R97" s="17" t="s">
        <v>892</v>
      </c>
      <c r="S97" s="17" t="s">
        <v>892</v>
      </c>
      <c r="T97" s="17" t="s">
        <v>892</v>
      </c>
      <c r="U97" s="17" t="s">
        <v>892</v>
      </c>
      <c r="V97" s="17"/>
      <c r="W97" s="17" t="s">
        <v>854</v>
      </c>
      <c r="X97" s="17"/>
      <c r="Y97" s="17"/>
      <c r="Z97" s="17"/>
      <c r="AA97" s="17"/>
      <c r="AB97" s="17"/>
      <c r="AC97" s="17"/>
      <c r="AD97" s="17"/>
      <c r="AE97" s="17"/>
      <c r="AF97" s="17"/>
      <c r="AG97" s="17"/>
      <c r="AH97" s="17" t="s">
        <v>988</v>
      </c>
    </row>
    <row r="98" spans="1:34" ht="35.25" customHeight="1">
      <c r="A98" s="53" t="s">
        <v>1117</v>
      </c>
      <c r="B98" s="21" t="s">
        <v>466</v>
      </c>
      <c r="C98" s="17" t="s">
        <v>467</v>
      </c>
      <c r="D98" s="17" t="s">
        <v>1105</v>
      </c>
      <c r="E98" s="17" t="s">
        <v>451</v>
      </c>
      <c r="F98" s="17" t="s">
        <v>32</v>
      </c>
      <c r="G98" s="17" t="s">
        <v>31</v>
      </c>
      <c r="H98" s="17" t="s">
        <v>1118</v>
      </c>
      <c r="I98" s="17" t="s">
        <v>231</v>
      </c>
      <c r="J98" s="17" t="s">
        <v>944</v>
      </c>
      <c r="K98" s="17" t="s">
        <v>16</v>
      </c>
      <c r="L98" s="17" t="s">
        <v>16</v>
      </c>
      <c r="M98" s="17" t="s">
        <v>16</v>
      </c>
      <c r="N98" s="17" t="s">
        <v>16</v>
      </c>
      <c r="O98" s="17" t="s">
        <v>913</v>
      </c>
      <c r="P98" s="17" t="s">
        <v>892</v>
      </c>
      <c r="Q98" s="17"/>
      <c r="R98" s="17" t="s">
        <v>892</v>
      </c>
      <c r="S98" s="17" t="s">
        <v>892</v>
      </c>
      <c r="T98" s="17" t="s">
        <v>892</v>
      </c>
      <c r="U98" s="17" t="s">
        <v>892</v>
      </c>
      <c r="V98" s="17"/>
      <c r="W98" s="17" t="s">
        <v>854</v>
      </c>
      <c r="X98" s="17"/>
      <c r="Y98" s="17"/>
      <c r="Z98" s="17"/>
      <c r="AA98" s="17"/>
      <c r="AB98" s="17"/>
      <c r="AC98" s="17"/>
      <c r="AD98" s="17"/>
      <c r="AE98" s="17"/>
      <c r="AF98" s="17"/>
      <c r="AG98" s="17"/>
      <c r="AH98" s="17" t="s">
        <v>988</v>
      </c>
    </row>
    <row r="99" spans="1:34" ht="35.25" customHeight="1">
      <c r="A99" s="53" t="s">
        <v>1119</v>
      </c>
      <c r="B99" s="21" t="s">
        <v>468</v>
      </c>
      <c r="C99" s="17" t="s">
        <v>469</v>
      </c>
      <c r="D99" s="17" t="s">
        <v>1105</v>
      </c>
      <c r="E99" s="17" t="s">
        <v>451</v>
      </c>
      <c r="F99" s="17" t="s">
        <v>32</v>
      </c>
      <c r="G99" s="17" t="s">
        <v>53</v>
      </c>
      <c r="H99" s="17" t="s">
        <v>1106</v>
      </c>
      <c r="I99" s="17" t="s">
        <v>453</v>
      </c>
      <c r="J99" s="17" t="s">
        <v>944</v>
      </c>
      <c r="K99" s="17" t="s">
        <v>16</v>
      </c>
      <c r="L99" s="17" t="s">
        <v>16</v>
      </c>
      <c r="M99" s="17" t="s">
        <v>16</v>
      </c>
      <c r="N99" s="17" t="s">
        <v>16</v>
      </c>
      <c r="O99" s="17" t="s">
        <v>913</v>
      </c>
      <c r="P99" s="17" t="s">
        <v>892</v>
      </c>
      <c r="Q99" s="17"/>
      <c r="R99" s="17" t="s">
        <v>892</v>
      </c>
      <c r="S99" s="17" t="s">
        <v>892</v>
      </c>
      <c r="T99" s="17" t="s">
        <v>892</v>
      </c>
      <c r="U99" s="17" t="s">
        <v>892</v>
      </c>
      <c r="V99" s="17"/>
      <c r="W99" s="17" t="s">
        <v>854</v>
      </c>
      <c r="X99" s="17"/>
      <c r="Y99" s="17"/>
      <c r="Z99" s="17"/>
      <c r="AA99" s="17"/>
      <c r="AB99" s="17"/>
      <c r="AC99" s="17"/>
      <c r="AD99" s="17"/>
      <c r="AE99" s="17"/>
      <c r="AF99" s="17"/>
      <c r="AG99" s="17"/>
      <c r="AH99" s="17" t="s">
        <v>905</v>
      </c>
    </row>
    <row r="100" spans="1:34" ht="35.25" customHeight="1">
      <c r="A100" s="53" t="s">
        <v>1120</v>
      </c>
      <c r="B100" s="21" t="s">
        <v>470</v>
      </c>
      <c r="C100" s="17" t="s">
        <v>471</v>
      </c>
      <c r="D100" s="17" t="s">
        <v>1105</v>
      </c>
      <c r="E100" s="17" t="s">
        <v>448</v>
      </c>
      <c r="F100" s="17" t="s">
        <v>67</v>
      </c>
      <c r="G100" s="17" t="s">
        <v>12</v>
      </c>
      <c r="H100" s="17" t="s">
        <v>1121</v>
      </c>
      <c r="I100" s="17" t="s">
        <v>231</v>
      </c>
      <c r="J100" s="17" t="s">
        <v>357</v>
      </c>
      <c r="K100" s="17" t="s">
        <v>16</v>
      </c>
      <c r="L100" s="17" t="s">
        <v>16</v>
      </c>
      <c r="M100" s="17" t="s">
        <v>16</v>
      </c>
      <c r="N100" s="17" t="s">
        <v>16</v>
      </c>
      <c r="O100" s="17" t="s">
        <v>892</v>
      </c>
      <c r="P100" s="17" t="s">
        <v>892</v>
      </c>
      <c r="Q100" s="17"/>
      <c r="R100" s="17" t="s">
        <v>892</v>
      </c>
      <c r="S100" s="17" t="s">
        <v>892</v>
      </c>
      <c r="T100" s="17" t="s">
        <v>892</v>
      </c>
      <c r="U100" s="17" t="s">
        <v>892</v>
      </c>
      <c r="V100" s="17"/>
      <c r="W100" s="17" t="s">
        <v>952</v>
      </c>
      <c r="X100" s="17"/>
      <c r="Y100" s="17"/>
      <c r="Z100" s="17"/>
      <c r="AA100" s="17"/>
      <c r="AB100" s="17"/>
      <c r="AC100" s="17"/>
      <c r="AD100" s="17"/>
      <c r="AE100" s="17"/>
      <c r="AF100" s="17"/>
      <c r="AG100" s="17"/>
      <c r="AH100" s="17" t="s">
        <v>905</v>
      </c>
    </row>
    <row r="101" spans="1:34" ht="35.25" customHeight="1">
      <c r="A101" s="53" t="s">
        <v>1122</v>
      </c>
      <c r="B101" s="21" t="s">
        <v>472</v>
      </c>
      <c r="C101" s="17" t="s">
        <v>473</v>
      </c>
      <c r="D101" s="17" t="s">
        <v>1105</v>
      </c>
      <c r="E101" s="17" t="s">
        <v>448</v>
      </c>
      <c r="F101" s="17" t="s">
        <v>67</v>
      </c>
      <c r="G101" s="17" t="s">
        <v>12</v>
      </c>
      <c r="H101" s="17" t="s">
        <v>1108</v>
      </c>
      <c r="I101" s="17" t="s">
        <v>231</v>
      </c>
      <c r="J101" s="17" t="s">
        <v>357</v>
      </c>
      <c r="K101" s="17" t="s">
        <v>16</v>
      </c>
      <c r="L101" s="17" t="s">
        <v>16</v>
      </c>
      <c r="M101" s="17" t="s">
        <v>16</v>
      </c>
      <c r="N101" s="17" t="s">
        <v>16</v>
      </c>
      <c r="O101" s="17" t="s">
        <v>913</v>
      </c>
      <c r="P101" s="17" t="s">
        <v>892</v>
      </c>
      <c r="Q101" s="17"/>
      <c r="R101" s="17" t="s">
        <v>892</v>
      </c>
      <c r="S101" s="17" t="s">
        <v>892</v>
      </c>
      <c r="T101" s="17" t="s">
        <v>892</v>
      </c>
      <c r="U101" s="17" t="s">
        <v>892</v>
      </c>
      <c r="V101" s="17"/>
      <c r="W101" s="17" t="s">
        <v>952</v>
      </c>
      <c r="X101" s="17"/>
      <c r="Y101" s="17"/>
      <c r="Z101" s="17"/>
      <c r="AA101" s="17"/>
      <c r="AB101" s="17"/>
      <c r="AC101" s="17"/>
      <c r="AD101" s="17"/>
      <c r="AE101" s="17"/>
      <c r="AF101" s="17"/>
      <c r="AG101" s="17"/>
      <c r="AH101" s="17" t="s">
        <v>905</v>
      </c>
    </row>
    <row r="102" spans="1:34" ht="35.25" customHeight="1">
      <c r="A102" s="53" t="s">
        <v>1123</v>
      </c>
      <c r="B102" s="21" t="s">
        <v>474</v>
      </c>
      <c r="C102" s="17" t="s">
        <v>475</v>
      </c>
      <c r="D102" s="17" t="s">
        <v>1105</v>
      </c>
      <c r="E102" s="17" t="s">
        <v>459</v>
      </c>
      <c r="F102" s="17" t="s">
        <v>25</v>
      </c>
      <c r="G102" s="17" t="s">
        <v>53</v>
      </c>
      <c r="H102" s="17" t="s">
        <v>1124</v>
      </c>
      <c r="I102" s="17" t="s">
        <v>231</v>
      </c>
      <c r="J102" s="17" t="s">
        <v>423</v>
      </c>
      <c r="K102" s="17" t="s">
        <v>16</v>
      </c>
      <c r="L102" s="17" t="s">
        <v>16</v>
      </c>
      <c r="M102" s="17" t="s">
        <v>16</v>
      </c>
      <c r="N102" s="17" t="s">
        <v>16</v>
      </c>
      <c r="O102" s="17" t="s">
        <v>913</v>
      </c>
      <c r="P102" s="17" t="s">
        <v>892</v>
      </c>
      <c r="Q102" s="17"/>
      <c r="R102" s="17" t="s">
        <v>892</v>
      </c>
      <c r="S102" s="17" t="s">
        <v>892</v>
      </c>
      <c r="T102" s="17" t="s">
        <v>892</v>
      </c>
      <c r="U102" s="17" t="s">
        <v>892</v>
      </c>
      <c r="V102" s="17"/>
      <c r="W102" s="17" t="s">
        <v>854</v>
      </c>
      <c r="X102" s="17"/>
      <c r="Y102" s="17"/>
      <c r="Z102" s="17"/>
      <c r="AA102" s="17"/>
      <c r="AB102" s="17"/>
      <c r="AC102" s="17"/>
      <c r="AD102" s="17"/>
      <c r="AE102" s="17"/>
      <c r="AF102" s="17"/>
      <c r="AG102" s="17"/>
      <c r="AH102" s="17" t="s">
        <v>905</v>
      </c>
    </row>
    <row r="103" spans="1:34" ht="35.25" customHeight="1">
      <c r="A103" s="53" t="s">
        <v>1125</v>
      </c>
      <c r="B103" s="25" t="s">
        <v>476</v>
      </c>
      <c r="C103" s="17" t="s">
        <v>477</v>
      </c>
      <c r="D103" s="17" t="s">
        <v>1105</v>
      </c>
      <c r="E103" s="17" t="s">
        <v>459</v>
      </c>
      <c r="F103" s="26" t="s">
        <v>25</v>
      </c>
      <c r="G103" s="17" t="s">
        <v>53</v>
      </c>
      <c r="H103" s="26" t="s">
        <v>1126</v>
      </c>
      <c r="I103" s="26" t="s">
        <v>231</v>
      </c>
      <c r="J103" s="26" t="s">
        <v>232</v>
      </c>
      <c r="K103" s="26" t="s">
        <v>16</v>
      </c>
      <c r="L103" s="26" t="s">
        <v>16</v>
      </c>
      <c r="M103" s="26" t="s">
        <v>16</v>
      </c>
      <c r="N103" s="26" t="s">
        <v>16</v>
      </c>
      <c r="O103" s="26" t="s">
        <v>913</v>
      </c>
      <c r="P103" s="26" t="s">
        <v>892</v>
      </c>
      <c r="Q103" s="26"/>
      <c r="R103" s="26" t="s">
        <v>892</v>
      </c>
      <c r="S103" s="26" t="s">
        <v>892</v>
      </c>
      <c r="T103" s="26" t="s">
        <v>892</v>
      </c>
      <c r="U103" s="26" t="s">
        <v>892</v>
      </c>
      <c r="V103" s="26"/>
      <c r="W103" s="17" t="s">
        <v>854</v>
      </c>
      <c r="X103" s="26"/>
      <c r="Y103" s="26"/>
      <c r="Z103" s="26"/>
      <c r="AA103" s="26"/>
      <c r="AB103" s="26"/>
      <c r="AC103" s="26"/>
      <c r="AD103" s="26"/>
      <c r="AE103" s="26"/>
      <c r="AF103" s="17"/>
      <c r="AG103" s="17"/>
      <c r="AH103" s="17" t="s">
        <v>905</v>
      </c>
    </row>
    <row r="104" spans="1:34" ht="35.25" customHeight="1">
      <c r="A104" s="53" t="s">
        <v>1127</v>
      </c>
      <c r="B104" s="21" t="s">
        <v>478</v>
      </c>
      <c r="C104" s="17" t="s">
        <v>479</v>
      </c>
      <c r="D104" s="17" t="s">
        <v>1105</v>
      </c>
      <c r="E104" s="17" t="s">
        <v>459</v>
      </c>
      <c r="F104" s="17" t="s">
        <v>25</v>
      </c>
      <c r="G104" s="17" t="s">
        <v>53</v>
      </c>
      <c r="H104" s="17" t="s">
        <v>1126</v>
      </c>
      <c r="I104" s="17" t="s">
        <v>231</v>
      </c>
      <c r="J104" s="17" t="s">
        <v>357</v>
      </c>
      <c r="K104" s="17" t="s">
        <v>16</v>
      </c>
      <c r="L104" s="17" t="s">
        <v>16</v>
      </c>
      <c r="M104" s="17" t="s">
        <v>16</v>
      </c>
      <c r="N104" s="17" t="s">
        <v>16</v>
      </c>
      <c r="O104" s="17" t="s">
        <v>892</v>
      </c>
      <c r="P104" s="17" t="s">
        <v>892</v>
      </c>
      <c r="Q104" s="17"/>
      <c r="R104" s="17" t="s">
        <v>892</v>
      </c>
      <c r="S104" s="17" t="s">
        <v>892</v>
      </c>
      <c r="T104" s="17" t="s">
        <v>892</v>
      </c>
      <c r="U104" s="17" t="s">
        <v>892</v>
      </c>
      <c r="V104" s="17"/>
      <c r="W104" s="17" t="s">
        <v>952</v>
      </c>
      <c r="X104" s="17"/>
      <c r="Y104" s="17"/>
      <c r="Z104" s="17"/>
      <c r="AA104" s="17"/>
      <c r="AB104" s="17"/>
      <c r="AC104" s="17"/>
      <c r="AD104" s="17"/>
      <c r="AE104" s="17"/>
      <c r="AF104" s="17"/>
      <c r="AG104" s="17"/>
      <c r="AH104" s="17" t="s">
        <v>905</v>
      </c>
    </row>
    <row r="105" spans="1:34" ht="35.25" customHeight="1">
      <c r="A105" s="53" t="s">
        <v>1128</v>
      </c>
      <c r="B105" s="21" t="s">
        <v>480</v>
      </c>
      <c r="C105" s="17" t="s">
        <v>481</v>
      </c>
      <c r="D105" s="17" t="s">
        <v>1105</v>
      </c>
      <c r="E105" s="17" t="s">
        <v>448</v>
      </c>
      <c r="F105" s="17" t="s">
        <v>67</v>
      </c>
      <c r="G105" s="17" t="s">
        <v>12</v>
      </c>
      <c r="H105" s="17" t="s">
        <v>421</v>
      </c>
      <c r="I105" s="17" t="s">
        <v>231</v>
      </c>
      <c r="J105" s="17" t="s">
        <v>357</v>
      </c>
      <c r="K105" s="17" t="s">
        <v>16</v>
      </c>
      <c r="L105" s="17" t="s">
        <v>16</v>
      </c>
      <c r="M105" s="17" t="s">
        <v>16</v>
      </c>
      <c r="N105" s="17" t="s">
        <v>16</v>
      </c>
      <c r="O105" s="17" t="s">
        <v>891</v>
      </c>
      <c r="P105" s="17" t="s">
        <v>892</v>
      </c>
      <c r="Q105" s="17"/>
      <c r="R105" s="17" t="s">
        <v>892</v>
      </c>
      <c r="S105" s="17" t="s">
        <v>892</v>
      </c>
      <c r="T105" s="17" t="s">
        <v>892</v>
      </c>
      <c r="U105" s="17" t="s">
        <v>892</v>
      </c>
      <c r="V105" s="17"/>
      <c r="W105" s="17" t="s">
        <v>952</v>
      </c>
      <c r="X105" s="17"/>
      <c r="Y105" s="17"/>
      <c r="Z105" s="17"/>
      <c r="AA105" s="17"/>
      <c r="AB105" s="17"/>
      <c r="AC105" s="17"/>
      <c r="AD105" s="17"/>
      <c r="AE105" s="17"/>
      <c r="AF105" s="17"/>
      <c r="AG105" s="17"/>
      <c r="AH105" s="17" t="s">
        <v>988</v>
      </c>
    </row>
    <row r="106" spans="1:34" ht="35.25" customHeight="1">
      <c r="A106" s="53" t="s">
        <v>1129</v>
      </c>
      <c r="B106" s="21" t="s">
        <v>719</v>
      </c>
      <c r="C106" s="17" t="s">
        <v>739</v>
      </c>
      <c r="D106" s="17" t="s">
        <v>270</v>
      </c>
      <c r="E106" s="17" t="str" cm="1">
        <f t="array" ref="E10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06" s="17" t="s">
        <v>102</v>
      </c>
      <c r="G106" s="17" t="str" cm="1">
        <f t="array" ref="G10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06" s="17" t="s">
        <v>271</v>
      </c>
      <c r="I106" s="17" t="s">
        <v>409</v>
      </c>
      <c r="J106" s="17" t="s">
        <v>413</v>
      </c>
      <c r="K106" s="17" t="s">
        <v>16</v>
      </c>
      <c r="L106" s="17" t="s">
        <v>16</v>
      </c>
      <c r="M106" s="17" t="s">
        <v>16</v>
      </c>
      <c r="N106" s="17" t="s">
        <v>16</v>
      </c>
      <c r="O106" s="17" t="s">
        <v>892</v>
      </c>
      <c r="P106" s="17" t="s">
        <v>891</v>
      </c>
      <c r="Q106" s="17"/>
      <c r="R106" s="17" t="s">
        <v>891</v>
      </c>
      <c r="S106" s="17" t="s">
        <v>891</v>
      </c>
      <c r="T106" s="17" t="s">
        <v>891</v>
      </c>
      <c r="U106" s="17" t="s">
        <v>891</v>
      </c>
      <c r="V106" s="17"/>
      <c r="W106" s="17" t="s">
        <v>856</v>
      </c>
      <c r="X106" s="17"/>
      <c r="Y106" s="17"/>
      <c r="Z106" s="17"/>
      <c r="AA106" s="17"/>
      <c r="AB106" s="17"/>
      <c r="AC106" s="17"/>
      <c r="AD106" s="17"/>
      <c r="AE106" s="17"/>
      <c r="AF106" s="17"/>
      <c r="AG106" s="17"/>
      <c r="AH106" s="17" t="s">
        <v>934</v>
      </c>
    </row>
    <row r="107" spans="1:34" ht="35.25" customHeight="1">
      <c r="A107" s="53" t="s">
        <v>1130</v>
      </c>
      <c r="B107" s="21" t="s">
        <v>539</v>
      </c>
      <c r="C107" s="17" t="s">
        <v>740</v>
      </c>
      <c r="D107" s="17" t="s">
        <v>270</v>
      </c>
      <c r="E107" s="17" t="str" cm="1">
        <f t="array" ref="E10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107" s="17" t="s">
        <v>22</v>
      </c>
      <c r="G107" s="17" t="str" cm="1">
        <f t="array" ref="G10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107" s="17" t="s">
        <v>23</v>
      </c>
      <c r="I107" s="17" t="s">
        <v>409</v>
      </c>
      <c r="J107" s="17" t="s">
        <v>413</v>
      </c>
      <c r="K107" s="17" t="s">
        <v>16</v>
      </c>
      <c r="L107" s="17" t="s">
        <v>16</v>
      </c>
      <c r="M107" s="17" t="s">
        <v>16</v>
      </c>
      <c r="N107" s="17" t="s">
        <v>16</v>
      </c>
      <c r="O107" s="17" t="s">
        <v>913</v>
      </c>
      <c r="P107" s="17" t="s">
        <v>891</v>
      </c>
      <c r="Q107" s="17"/>
      <c r="R107" s="17" t="s">
        <v>892</v>
      </c>
      <c r="S107" s="17" t="s">
        <v>892</v>
      </c>
      <c r="T107" s="17" t="s">
        <v>892</v>
      </c>
      <c r="U107" s="17" t="s">
        <v>892</v>
      </c>
      <c r="V107" s="17"/>
      <c r="W107" s="17" t="s">
        <v>856</v>
      </c>
      <c r="X107" s="17"/>
      <c r="Y107" s="17"/>
      <c r="Z107" s="17"/>
      <c r="AA107" s="17"/>
      <c r="AB107" s="17"/>
      <c r="AC107" s="17"/>
      <c r="AD107" s="17"/>
      <c r="AE107" s="17"/>
      <c r="AF107" s="17"/>
      <c r="AG107" s="17"/>
      <c r="AH107" s="17" t="s">
        <v>905</v>
      </c>
    </row>
    <row r="108" spans="1:34" ht="35.25" customHeight="1">
      <c r="A108" s="53" t="s">
        <v>1131</v>
      </c>
      <c r="B108" s="21" t="s">
        <v>548</v>
      </c>
      <c r="C108" s="17" t="s">
        <v>741</v>
      </c>
      <c r="D108" s="17" t="s">
        <v>270</v>
      </c>
      <c r="E108" s="17" t="str" cm="1">
        <f t="array" ref="E10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08" s="17" t="s">
        <v>102</v>
      </c>
      <c r="G108" s="17" t="str" cm="1">
        <f t="array" ref="G10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08" s="17" t="s">
        <v>271</v>
      </c>
      <c r="I108" s="17" t="s">
        <v>409</v>
      </c>
      <c r="J108" s="17" t="s">
        <v>413</v>
      </c>
      <c r="K108" s="17" t="s">
        <v>16</v>
      </c>
      <c r="L108" s="17" t="s">
        <v>16</v>
      </c>
      <c r="M108" s="17" t="s">
        <v>16</v>
      </c>
      <c r="N108" s="17" t="s">
        <v>16</v>
      </c>
      <c r="O108" s="17" t="s">
        <v>913</v>
      </c>
      <c r="P108" s="17" t="s">
        <v>891</v>
      </c>
      <c r="Q108" s="17"/>
      <c r="R108" s="17" t="s">
        <v>892</v>
      </c>
      <c r="S108" s="17" t="s">
        <v>892</v>
      </c>
      <c r="T108" s="17" t="s">
        <v>892</v>
      </c>
      <c r="U108" s="17" t="s">
        <v>892</v>
      </c>
      <c r="V108" s="17"/>
      <c r="W108" s="17" t="s">
        <v>856</v>
      </c>
      <c r="X108" s="17"/>
      <c r="Y108" s="17"/>
      <c r="Z108" s="17"/>
      <c r="AA108" s="17"/>
      <c r="AB108" s="17"/>
      <c r="AC108" s="17"/>
      <c r="AD108" s="17"/>
      <c r="AE108" s="17"/>
      <c r="AF108" s="17"/>
      <c r="AG108" s="17"/>
      <c r="AH108" s="17" t="s">
        <v>988</v>
      </c>
    </row>
    <row r="109" spans="1:34" ht="35.25" customHeight="1">
      <c r="A109" s="53" t="s">
        <v>1132</v>
      </c>
      <c r="B109" s="25" t="s">
        <v>723</v>
      </c>
      <c r="C109" s="17" t="s">
        <v>742</v>
      </c>
      <c r="D109" s="17" t="s">
        <v>270</v>
      </c>
      <c r="E109" s="17" t="str" cm="1">
        <f t="array" ref="E10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09" s="26" t="s">
        <v>102</v>
      </c>
      <c r="G109" s="17" t="str" cm="1">
        <f t="array" ref="G10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09" s="26" t="s">
        <v>271</v>
      </c>
      <c r="I109" s="26" t="s">
        <v>409</v>
      </c>
      <c r="J109" s="26" t="s">
        <v>413</v>
      </c>
      <c r="K109" s="26" t="s">
        <v>16</v>
      </c>
      <c r="L109" s="26" t="s">
        <v>16</v>
      </c>
      <c r="M109" s="26" t="s">
        <v>16</v>
      </c>
      <c r="N109" s="17" t="s">
        <v>16</v>
      </c>
      <c r="O109" s="17" t="s">
        <v>913</v>
      </c>
      <c r="P109" s="17" t="s">
        <v>891</v>
      </c>
      <c r="Q109" s="17"/>
      <c r="R109" s="17" t="s">
        <v>892</v>
      </c>
      <c r="S109" s="17" t="s">
        <v>892</v>
      </c>
      <c r="T109" s="17" t="s">
        <v>892</v>
      </c>
      <c r="U109" s="17" t="s">
        <v>892</v>
      </c>
      <c r="V109" s="17"/>
      <c r="W109" s="17" t="s">
        <v>856</v>
      </c>
      <c r="X109" s="26"/>
      <c r="Y109" s="26"/>
      <c r="Z109" s="26"/>
      <c r="AA109" s="26"/>
      <c r="AB109" s="26"/>
      <c r="AC109" s="26"/>
      <c r="AD109" s="26"/>
      <c r="AE109" s="26"/>
      <c r="AF109" s="17"/>
      <c r="AG109" s="17"/>
      <c r="AH109" s="17" t="s">
        <v>905</v>
      </c>
    </row>
    <row r="110" spans="1:34" ht="35.25" customHeight="1">
      <c r="A110" s="53" t="s">
        <v>1133</v>
      </c>
      <c r="B110" s="21" t="s">
        <v>562</v>
      </c>
      <c r="C110" s="17" t="s">
        <v>743</v>
      </c>
      <c r="D110" s="17" t="s">
        <v>270</v>
      </c>
      <c r="E110" s="17" t="str" cm="1">
        <f t="array" ref="E11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10" s="17" t="s">
        <v>32</v>
      </c>
      <c r="G110" s="17" t="str" cm="1">
        <f t="array" ref="G11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10" s="17" t="s">
        <v>33</v>
      </c>
      <c r="I110" s="17" t="s">
        <v>409</v>
      </c>
      <c r="J110" s="17" t="s">
        <v>413</v>
      </c>
      <c r="K110" s="17" t="s">
        <v>16</v>
      </c>
      <c r="L110" s="17" t="s">
        <v>16</v>
      </c>
      <c r="M110" s="17" t="s">
        <v>16</v>
      </c>
      <c r="N110" s="17" t="s">
        <v>16</v>
      </c>
      <c r="O110" s="17" t="s">
        <v>913</v>
      </c>
      <c r="P110" s="17" t="s">
        <v>892</v>
      </c>
      <c r="Q110" s="17"/>
      <c r="R110" s="17" t="s">
        <v>892</v>
      </c>
      <c r="S110" s="17" t="s">
        <v>892</v>
      </c>
      <c r="T110" s="17" t="s">
        <v>892</v>
      </c>
      <c r="U110" s="17" t="s">
        <v>892</v>
      </c>
      <c r="V110" s="17"/>
      <c r="W110" s="17" t="s">
        <v>856</v>
      </c>
      <c r="X110" s="17"/>
      <c r="Y110" s="17"/>
      <c r="Z110" s="17"/>
      <c r="AA110" s="17"/>
      <c r="AB110" s="17"/>
      <c r="AC110" s="17"/>
      <c r="AD110" s="17"/>
      <c r="AE110" s="17"/>
      <c r="AF110" s="17"/>
      <c r="AG110" s="17"/>
      <c r="AH110" s="17" t="s">
        <v>905</v>
      </c>
    </row>
    <row r="111" spans="1:34" ht="35.25" customHeight="1">
      <c r="A111" s="53" t="s">
        <v>1134</v>
      </c>
      <c r="B111" s="21" t="s">
        <v>566</v>
      </c>
      <c r="C111" s="17" t="s">
        <v>744</v>
      </c>
      <c r="D111" s="17" t="s">
        <v>270</v>
      </c>
      <c r="E111" s="17" t="str" cm="1">
        <f t="array" ref="E11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11" s="17" t="s">
        <v>102</v>
      </c>
      <c r="G111" s="17" t="str" cm="1">
        <f t="array" ref="G11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11" s="17" t="s">
        <v>271</v>
      </c>
      <c r="I111" s="17" t="s">
        <v>409</v>
      </c>
      <c r="J111" s="17" t="s">
        <v>413</v>
      </c>
      <c r="K111" s="17" t="s">
        <v>16</v>
      </c>
      <c r="L111" s="17" t="s">
        <v>16</v>
      </c>
      <c r="M111" s="17" t="s">
        <v>16</v>
      </c>
      <c r="N111" s="17" t="s">
        <v>16</v>
      </c>
      <c r="O111" s="17" t="s">
        <v>913</v>
      </c>
      <c r="P111" s="17" t="s">
        <v>892</v>
      </c>
      <c r="Q111" s="17"/>
      <c r="R111" s="17" t="s">
        <v>892</v>
      </c>
      <c r="S111" s="17" t="s">
        <v>892</v>
      </c>
      <c r="T111" s="17" t="s">
        <v>892</v>
      </c>
      <c r="U111" s="17" t="s">
        <v>892</v>
      </c>
      <c r="V111" s="17"/>
      <c r="W111" s="17" t="s">
        <v>856</v>
      </c>
      <c r="X111" s="17"/>
      <c r="Y111" s="17"/>
      <c r="Z111" s="17"/>
      <c r="AA111" s="17"/>
      <c r="AB111" s="17"/>
      <c r="AC111" s="17"/>
      <c r="AD111" s="17"/>
      <c r="AE111" s="17"/>
      <c r="AF111" s="17"/>
      <c r="AG111" s="17"/>
      <c r="AH111" s="17" t="s">
        <v>905</v>
      </c>
    </row>
    <row r="112" spans="1:34" ht="35.25" customHeight="1">
      <c r="A112" s="53" t="s">
        <v>1135</v>
      </c>
      <c r="B112" s="21" t="s">
        <v>727</v>
      </c>
      <c r="C112" s="17" t="s">
        <v>745</v>
      </c>
      <c r="D112" s="17" t="s">
        <v>270</v>
      </c>
      <c r="E112" s="17" t="str" cm="1">
        <f t="array" ref="E11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112" s="17" t="s">
        <v>22</v>
      </c>
      <c r="G112" s="17" t="str" cm="1">
        <f t="array" ref="G11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112" s="17" t="s">
        <v>23</v>
      </c>
      <c r="I112" s="17" t="s">
        <v>409</v>
      </c>
      <c r="J112" s="17" t="s">
        <v>413</v>
      </c>
      <c r="K112" s="17" t="s">
        <v>16</v>
      </c>
      <c r="L112" s="17" t="s">
        <v>16</v>
      </c>
      <c r="M112" s="17" t="s">
        <v>16</v>
      </c>
      <c r="N112" s="17" t="s">
        <v>16</v>
      </c>
      <c r="O112" s="17" t="s">
        <v>913</v>
      </c>
      <c r="P112" s="17" t="s">
        <v>892</v>
      </c>
      <c r="Q112" s="17"/>
      <c r="R112" s="17" t="s">
        <v>892</v>
      </c>
      <c r="S112" s="17" t="s">
        <v>892</v>
      </c>
      <c r="T112" s="17" t="s">
        <v>892</v>
      </c>
      <c r="U112" s="17" t="s">
        <v>892</v>
      </c>
      <c r="V112" s="17"/>
      <c r="W112" s="17" t="s">
        <v>856</v>
      </c>
      <c r="X112" s="17"/>
      <c r="Y112" s="17"/>
      <c r="Z112" s="17"/>
      <c r="AA112" s="17"/>
      <c r="AB112" s="17"/>
      <c r="AC112" s="17"/>
      <c r="AD112" s="17"/>
      <c r="AE112" s="17"/>
      <c r="AF112" s="17"/>
      <c r="AG112" s="17"/>
      <c r="AH112" s="17" t="s">
        <v>905</v>
      </c>
    </row>
    <row r="113" spans="1:34" ht="35.25" customHeight="1">
      <c r="A113" s="53" t="s">
        <v>1136</v>
      </c>
      <c r="B113" s="21" t="s">
        <v>570</v>
      </c>
      <c r="C113" s="17" t="s">
        <v>746</v>
      </c>
      <c r="D113" s="17" t="s">
        <v>270</v>
      </c>
      <c r="E113" s="17" t="str" cm="1">
        <f t="array" ref="E11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13" s="17" t="s">
        <v>102</v>
      </c>
      <c r="G113" s="17" t="str" cm="1">
        <f t="array" ref="G11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13" s="17" t="s">
        <v>271</v>
      </c>
      <c r="I113" s="17" t="s">
        <v>409</v>
      </c>
      <c r="J113" s="17" t="s">
        <v>413</v>
      </c>
      <c r="K113" s="17" t="s">
        <v>16</v>
      </c>
      <c r="L113" s="17" t="s">
        <v>16</v>
      </c>
      <c r="M113" s="17" t="s">
        <v>16</v>
      </c>
      <c r="N113" s="17" t="s">
        <v>16</v>
      </c>
      <c r="O113" s="17" t="s">
        <v>913</v>
      </c>
      <c r="P113" s="17" t="s">
        <v>891</v>
      </c>
      <c r="Q113" s="17"/>
      <c r="R113" s="17" t="s">
        <v>892</v>
      </c>
      <c r="S113" s="17" t="s">
        <v>892</v>
      </c>
      <c r="T113" s="17" t="s">
        <v>892</v>
      </c>
      <c r="U113" s="17" t="s">
        <v>892</v>
      </c>
      <c r="V113" s="17"/>
      <c r="W113" s="17" t="s">
        <v>856</v>
      </c>
      <c r="X113" s="17"/>
      <c r="Y113" s="17"/>
      <c r="Z113" s="17"/>
      <c r="AA113" s="17"/>
      <c r="AB113" s="17"/>
      <c r="AC113" s="17"/>
      <c r="AD113" s="17"/>
      <c r="AE113" s="17"/>
      <c r="AF113" s="17"/>
      <c r="AG113" s="17"/>
      <c r="AH113" s="17" t="s">
        <v>905</v>
      </c>
    </row>
    <row r="114" spans="1:34" ht="35.25" customHeight="1">
      <c r="A114" s="53" t="s">
        <v>1137</v>
      </c>
      <c r="B114" s="21" t="s">
        <v>572</v>
      </c>
      <c r="C114" s="17" t="s">
        <v>747</v>
      </c>
      <c r="D114" s="17" t="s">
        <v>270</v>
      </c>
      <c r="E114" s="17" t="str" cm="1">
        <f t="array" ref="E11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14" s="17" t="s">
        <v>102</v>
      </c>
      <c r="G114" s="17" t="str" cm="1">
        <f t="array" ref="G11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14" s="17" t="s">
        <v>271</v>
      </c>
      <c r="I114" s="17" t="s">
        <v>409</v>
      </c>
      <c r="J114" s="17" t="s">
        <v>413</v>
      </c>
      <c r="K114" s="17" t="s">
        <v>16</v>
      </c>
      <c r="L114" s="17" t="s">
        <v>16</v>
      </c>
      <c r="M114" s="17" t="s">
        <v>16</v>
      </c>
      <c r="N114" s="17" t="s">
        <v>16</v>
      </c>
      <c r="O114" s="17" t="s">
        <v>913</v>
      </c>
      <c r="P114" s="17" t="s">
        <v>891</v>
      </c>
      <c r="Q114" s="17"/>
      <c r="R114" s="17" t="s">
        <v>892</v>
      </c>
      <c r="S114" s="17" t="s">
        <v>892</v>
      </c>
      <c r="T114" s="17" t="s">
        <v>892</v>
      </c>
      <c r="U114" s="17" t="s">
        <v>892</v>
      </c>
      <c r="V114" s="17"/>
      <c r="W114" s="17" t="s">
        <v>856</v>
      </c>
      <c r="X114" s="17"/>
      <c r="Y114" s="17"/>
      <c r="Z114" s="17"/>
      <c r="AA114" s="17"/>
      <c r="AB114" s="17"/>
      <c r="AC114" s="17"/>
      <c r="AD114" s="17"/>
      <c r="AE114" s="17"/>
      <c r="AF114" s="17"/>
      <c r="AG114" s="17"/>
      <c r="AH114" s="17" t="s">
        <v>905</v>
      </c>
    </row>
    <row r="115" spans="1:34" ht="35.25" customHeight="1">
      <c r="A115" s="53" t="s">
        <v>1138</v>
      </c>
      <c r="B115" s="21" t="s">
        <v>573</v>
      </c>
      <c r="C115" s="17" t="s">
        <v>748</v>
      </c>
      <c r="D115" s="17" t="s">
        <v>270</v>
      </c>
      <c r="E115" s="17" t="str" cm="1">
        <f t="array" ref="E11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15" s="17" t="s">
        <v>102</v>
      </c>
      <c r="G115" s="17" t="str" cm="1">
        <f t="array" ref="G11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15" s="17" t="s">
        <v>271</v>
      </c>
      <c r="I115" s="17" t="s">
        <v>409</v>
      </c>
      <c r="J115" s="17" t="s">
        <v>413</v>
      </c>
      <c r="K115" s="17" t="s">
        <v>16</v>
      </c>
      <c r="L115" s="17" t="s">
        <v>16</v>
      </c>
      <c r="M115" s="17" t="s">
        <v>16</v>
      </c>
      <c r="N115" s="17" t="s">
        <v>16</v>
      </c>
      <c r="O115" s="17" t="s">
        <v>913</v>
      </c>
      <c r="P115" s="17" t="s">
        <v>891</v>
      </c>
      <c r="Q115" s="17"/>
      <c r="R115" s="17" t="s">
        <v>892</v>
      </c>
      <c r="S115" s="17" t="s">
        <v>892</v>
      </c>
      <c r="T115" s="17" t="s">
        <v>892</v>
      </c>
      <c r="U115" s="17" t="s">
        <v>892</v>
      </c>
      <c r="V115" s="17"/>
      <c r="W115" s="17" t="s">
        <v>856</v>
      </c>
      <c r="X115" s="17"/>
      <c r="Y115" s="17"/>
      <c r="Z115" s="17"/>
      <c r="AA115" s="17"/>
      <c r="AB115" s="17"/>
      <c r="AC115" s="17"/>
      <c r="AD115" s="17"/>
      <c r="AE115" s="17"/>
      <c r="AF115" s="17"/>
      <c r="AG115" s="17"/>
      <c r="AH115" s="17" t="s">
        <v>905</v>
      </c>
    </row>
    <row r="116" spans="1:34" ht="35.25" customHeight="1">
      <c r="A116" s="53" t="s">
        <v>1139</v>
      </c>
      <c r="B116" s="21" t="s">
        <v>577</v>
      </c>
      <c r="C116" s="17" t="s">
        <v>749</v>
      </c>
      <c r="D116" s="17" t="s">
        <v>270</v>
      </c>
      <c r="E116" s="17" t="str" cm="1">
        <f t="array" ref="E11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16" s="17" t="s">
        <v>102</v>
      </c>
      <c r="G116" s="17" t="str" cm="1">
        <f t="array" ref="G11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16" s="17" t="s">
        <v>271</v>
      </c>
      <c r="I116" s="17" t="s">
        <v>409</v>
      </c>
      <c r="J116" s="17" t="s">
        <v>413</v>
      </c>
      <c r="K116" s="17" t="s">
        <v>16</v>
      </c>
      <c r="L116" s="17" t="s">
        <v>16</v>
      </c>
      <c r="M116" s="17" t="s">
        <v>16</v>
      </c>
      <c r="N116" s="17" t="s">
        <v>16</v>
      </c>
      <c r="O116" s="17" t="s">
        <v>892</v>
      </c>
      <c r="P116" s="17" t="s">
        <v>891</v>
      </c>
      <c r="Q116" s="17"/>
      <c r="R116" s="17" t="s">
        <v>891</v>
      </c>
      <c r="S116" s="17" t="s">
        <v>891</v>
      </c>
      <c r="T116" s="17" t="s">
        <v>891</v>
      </c>
      <c r="U116" s="17" t="s">
        <v>891</v>
      </c>
      <c r="V116" s="17"/>
      <c r="W116" s="17" t="s">
        <v>856</v>
      </c>
      <c r="X116" s="17"/>
      <c r="Y116" s="17"/>
      <c r="Z116" s="17"/>
      <c r="AA116" s="17"/>
      <c r="AB116" s="17"/>
      <c r="AC116" s="17"/>
      <c r="AD116" s="17"/>
      <c r="AE116" s="17"/>
      <c r="AF116" s="17"/>
      <c r="AG116" s="17"/>
      <c r="AH116" s="17" t="s">
        <v>934</v>
      </c>
    </row>
    <row r="117" spans="1:34" ht="35.25" customHeight="1">
      <c r="A117" s="53" t="s">
        <v>1140</v>
      </c>
      <c r="B117" s="21" t="s">
        <v>581</v>
      </c>
      <c r="C117" s="17" t="s">
        <v>750</v>
      </c>
      <c r="D117" s="17" t="s">
        <v>270</v>
      </c>
      <c r="E117" s="17" t="str" cm="1">
        <f t="array" ref="E11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17" s="17" t="s">
        <v>102</v>
      </c>
      <c r="G117" s="17" t="str" cm="1">
        <f t="array" ref="G11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17" s="17" t="s">
        <v>271</v>
      </c>
      <c r="I117" s="17" t="s">
        <v>409</v>
      </c>
      <c r="J117" s="17" t="s">
        <v>413</v>
      </c>
      <c r="K117" s="17" t="s">
        <v>16</v>
      </c>
      <c r="L117" s="17" t="s">
        <v>16</v>
      </c>
      <c r="M117" s="17" t="s">
        <v>16</v>
      </c>
      <c r="N117" s="17" t="s">
        <v>16</v>
      </c>
      <c r="O117" s="17" t="s">
        <v>892</v>
      </c>
      <c r="P117" s="17" t="s">
        <v>891</v>
      </c>
      <c r="Q117" s="17"/>
      <c r="R117" s="17" t="s">
        <v>892</v>
      </c>
      <c r="S117" s="17" t="s">
        <v>892</v>
      </c>
      <c r="T117" s="17" t="s">
        <v>892</v>
      </c>
      <c r="U117" s="17" t="s">
        <v>892</v>
      </c>
      <c r="V117" s="17"/>
      <c r="W117" s="17" t="s">
        <v>856</v>
      </c>
      <c r="X117" s="17"/>
      <c r="Y117" s="17"/>
      <c r="Z117" s="17"/>
      <c r="AA117" s="17"/>
      <c r="AB117" s="17"/>
      <c r="AC117" s="17"/>
      <c r="AD117" s="17"/>
      <c r="AE117" s="17"/>
      <c r="AF117" s="17"/>
      <c r="AG117" s="17"/>
      <c r="AH117" s="17" t="s">
        <v>905</v>
      </c>
    </row>
    <row r="118" spans="1:34" ht="35.25" customHeight="1">
      <c r="A118" s="53" t="s">
        <v>1141</v>
      </c>
      <c r="B118" s="21" t="s">
        <v>583</v>
      </c>
      <c r="C118" s="17" t="s">
        <v>751</v>
      </c>
      <c r="D118" s="17" t="s">
        <v>270</v>
      </c>
      <c r="E118" s="17" t="str" cm="1">
        <f t="array" ref="E11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118" s="17" t="s">
        <v>22</v>
      </c>
      <c r="G118" s="17" t="str" cm="1">
        <f t="array" ref="G11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118" s="17" t="s">
        <v>23</v>
      </c>
      <c r="I118" s="17" t="s">
        <v>409</v>
      </c>
      <c r="J118" s="17" t="s">
        <v>413</v>
      </c>
      <c r="K118" s="17" t="s">
        <v>16</v>
      </c>
      <c r="L118" s="17" t="s">
        <v>16</v>
      </c>
      <c r="M118" s="17" t="s">
        <v>16</v>
      </c>
      <c r="N118" s="17" t="s">
        <v>16</v>
      </c>
      <c r="O118" s="17" t="s">
        <v>892</v>
      </c>
      <c r="P118" s="17" t="s">
        <v>891</v>
      </c>
      <c r="Q118" s="17"/>
      <c r="R118" s="17" t="s">
        <v>892</v>
      </c>
      <c r="S118" s="17" t="s">
        <v>892</v>
      </c>
      <c r="T118" s="17" t="s">
        <v>892</v>
      </c>
      <c r="U118" s="17" t="s">
        <v>892</v>
      </c>
      <c r="V118" s="17"/>
      <c r="W118" s="17" t="s">
        <v>856</v>
      </c>
      <c r="X118" s="17"/>
      <c r="Y118" s="17"/>
      <c r="Z118" s="17"/>
      <c r="AA118" s="17"/>
      <c r="AB118" s="17"/>
      <c r="AC118" s="17"/>
      <c r="AD118" s="17"/>
      <c r="AE118" s="17"/>
      <c r="AF118" s="17"/>
      <c r="AG118" s="17"/>
      <c r="AH118" s="17" t="s">
        <v>905</v>
      </c>
    </row>
    <row r="119" spans="1:34" ht="35.25" customHeight="1">
      <c r="A119" s="53" t="s">
        <v>1142</v>
      </c>
      <c r="B119" s="21" t="s">
        <v>585</v>
      </c>
      <c r="C119" s="17" t="s">
        <v>752</v>
      </c>
      <c r="D119" s="17" t="s">
        <v>270</v>
      </c>
      <c r="E119" s="17" t="str" cm="1">
        <f t="array" ref="E11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19" s="17" t="s">
        <v>102</v>
      </c>
      <c r="G119" s="17" t="str" cm="1">
        <f t="array" ref="G11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19" s="17" t="s">
        <v>271</v>
      </c>
      <c r="I119" s="17" t="s">
        <v>409</v>
      </c>
      <c r="J119" s="17" t="s">
        <v>413</v>
      </c>
      <c r="K119" s="17" t="s">
        <v>16</v>
      </c>
      <c r="L119" s="17" t="s">
        <v>16</v>
      </c>
      <c r="M119" s="17" t="s">
        <v>16</v>
      </c>
      <c r="N119" s="17" t="s">
        <v>16</v>
      </c>
      <c r="O119" s="17" t="s">
        <v>913</v>
      </c>
      <c r="P119" s="17" t="s">
        <v>891</v>
      </c>
      <c r="Q119" s="17"/>
      <c r="R119" s="17" t="s">
        <v>892</v>
      </c>
      <c r="S119" s="17" t="s">
        <v>892</v>
      </c>
      <c r="T119" s="17" t="s">
        <v>892</v>
      </c>
      <c r="U119" s="17" t="s">
        <v>892</v>
      </c>
      <c r="V119" s="17"/>
      <c r="W119" s="17" t="s">
        <v>856</v>
      </c>
      <c r="X119" s="17"/>
      <c r="Y119" s="17"/>
      <c r="Z119" s="17"/>
      <c r="AA119" s="17"/>
      <c r="AB119" s="17"/>
      <c r="AC119" s="17"/>
      <c r="AD119" s="17"/>
      <c r="AE119" s="17"/>
      <c r="AF119" s="17"/>
      <c r="AG119" s="17"/>
      <c r="AH119" s="17" t="s">
        <v>905</v>
      </c>
    </row>
    <row r="120" spans="1:34" ht="35.25" hidden="1" customHeight="1">
      <c r="A120" s="53" t="s">
        <v>1143</v>
      </c>
      <c r="B120" s="21" t="s">
        <v>595</v>
      </c>
      <c r="C120" s="17" t="s">
        <v>753</v>
      </c>
      <c r="D120" s="17" t="s">
        <v>270</v>
      </c>
      <c r="E120" s="17" t="str" cm="1">
        <f t="array" ref="E12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20" s="17" t="s">
        <v>102</v>
      </c>
      <c r="G120" s="17" t="str" cm="1">
        <f t="array" ref="G12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20" s="17" t="s">
        <v>271</v>
      </c>
      <c r="I120" s="17" t="s">
        <v>409</v>
      </c>
      <c r="J120" s="17" t="s">
        <v>413</v>
      </c>
      <c r="K120" s="17" t="s">
        <v>16</v>
      </c>
      <c r="L120" s="17" t="s">
        <v>16</v>
      </c>
      <c r="M120" s="17" t="s">
        <v>16</v>
      </c>
      <c r="N120" s="17" t="s">
        <v>15</v>
      </c>
      <c r="O120" s="17" t="s">
        <v>913</v>
      </c>
      <c r="P120" s="17" t="s">
        <v>892</v>
      </c>
      <c r="Q120" s="17"/>
      <c r="R120" s="17" t="s">
        <v>892</v>
      </c>
      <c r="S120" s="17" t="s">
        <v>892</v>
      </c>
      <c r="T120" s="17" t="s">
        <v>892</v>
      </c>
      <c r="U120" s="17" t="s">
        <v>892</v>
      </c>
      <c r="V120" s="17"/>
      <c r="W120" s="17" t="s">
        <v>856</v>
      </c>
      <c r="X120" s="17"/>
      <c r="Y120" s="17"/>
      <c r="Z120" s="17"/>
      <c r="AA120" s="17"/>
      <c r="AB120" s="17"/>
      <c r="AC120" s="17"/>
      <c r="AD120" s="17"/>
      <c r="AE120" s="17"/>
      <c r="AF120" s="17"/>
      <c r="AG120" s="17"/>
      <c r="AH120" s="17" t="s">
        <v>905</v>
      </c>
    </row>
    <row r="121" spans="1:34" ht="35.25" hidden="1" customHeight="1">
      <c r="A121" s="53" t="s">
        <v>1144</v>
      </c>
      <c r="B121" s="21" t="s">
        <v>597</v>
      </c>
      <c r="C121" s="17" t="s">
        <v>754</v>
      </c>
      <c r="D121" s="17" t="s">
        <v>270</v>
      </c>
      <c r="E121" s="17" t="str" cm="1">
        <f t="array" ref="E12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21" s="17" t="s">
        <v>102</v>
      </c>
      <c r="G121" s="17" t="str" cm="1">
        <f t="array" ref="G12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21" s="17" t="s">
        <v>271</v>
      </c>
      <c r="I121" s="17" t="s">
        <v>409</v>
      </c>
      <c r="J121" s="17" t="s">
        <v>413</v>
      </c>
      <c r="K121" s="17" t="s">
        <v>16</v>
      </c>
      <c r="L121" s="17" t="s">
        <v>16</v>
      </c>
      <c r="M121" s="17" t="s">
        <v>16</v>
      </c>
      <c r="N121" s="17" t="s">
        <v>15</v>
      </c>
      <c r="O121" s="17" t="s">
        <v>913</v>
      </c>
      <c r="P121" s="17" t="s">
        <v>892</v>
      </c>
      <c r="Q121" s="17"/>
      <c r="R121" s="17" t="s">
        <v>892</v>
      </c>
      <c r="S121" s="17" t="s">
        <v>892</v>
      </c>
      <c r="T121" s="17" t="s">
        <v>892</v>
      </c>
      <c r="U121" s="17" t="s">
        <v>892</v>
      </c>
      <c r="V121" s="17"/>
      <c r="W121" s="17" t="s">
        <v>856</v>
      </c>
      <c r="X121" s="17"/>
      <c r="Y121" s="17"/>
      <c r="Z121" s="17"/>
      <c r="AA121" s="17"/>
      <c r="AB121" s="17"/>
      <c r="AC121" s="17"/>
      <c r="AD121" s="17"/>
      <c r="AE121" s="17"/>
      <c r="AF121" s="17"/>
      <c r="AG121" s="17"/>
      <c r="AH121" s="17" t="s">
        <v>905</v>
      </c>
    </row>
    <row r="122" spans="1:34" ht="35.25" hidden="1" customHeight="1">
      <c r="A122" s="53" t="s">
        <v>1145</v>
      </c>
      <c r="B122" s="25" t="s">
        <v>602</v>
      </c>
      <c r="C122" s="17" t="s">
        <v>755</v>
      </c>
      <c r="D122" s="17" t="s">
        <v>270</v>
      </c>
      <c r="E122" s="17" t="str" cm="1">
        <f t="array" ref="E12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22" s="26" t="s">
        <v>102</v>
      </c>
      <c r="G122" s="17" t="str" cm="1">
        <f t="array" ref="G12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22" s="26" t="s">
        <v>271</v>
      </c>
      <c r="I122" s="17" t="s">
        <v>409</v>
      </c>
      <c r="J122" s="17" t="s">
        <v>364</v>
      </c>
      <c r="K122" s="26" t="s">
        <v>15</v>
      </c>
      <c r="L122" s="26" t="s">
        <v>16</v>
      </c>
      <c r="M122" s="26" t="s">
        <v>16</v>
      </c>
      <c r="N122" s="17" t="s">
        <v>15</v>
      </c>
      <c r="O122" s="17" t="s">
        <v>913</v>
      </c>
      <c r="P122" s="17" t="s">
        <v>892</v>
      </c>
      <c r="Q122" s="17"/>
      <c r="R122" s="17" t="s">
        <v>892</v>
      </c>
      <c r="S122" s="17" t="s">
        <v>892</v>
      </c>
      <c r="T122" s="17" t="s">
        <v>892</v>
      </c>
      <c r="U122" s="17" t="s">
        <v>892</v>
      </c>
      <c r="V122" s="17"/>
      <c r="W122" s="17" t="s">
        <v>993</v>
      </c>
      <c r="X122" s="26"/>
      <c r="Y122" s="26"/>
      <c r="Z122" s="26"/>
      <c r="AA122" s="26"/>
      <c r="AB122" s="26"/>
      <c r="AC122" s="26"/>
      <c r="AD122" s="26"/>
      <c r="AE122" s="26"/>
      <c r="AF122" s="17"/>
      <c r="AG122" s="17"/>
      <c r="AH122" s="17" t="s">
        <v>934</v>
      </c>
    </row>
    <row r="123" spans="1:34" ht="35.25" customHeight="1">
      <c r="A123" s="53" t="s">
        <v>1146</v>
      </c>
      <c r="B123" s="21" t="s">
        <v>1147</v>
      </c>
      <c r="C123" s="17" t="s">
        <v>757</v>
      </c>
      <c r="D123" s="17" t="s">
        <v>1148</v>
      </c>
      <c r="E123" s="17" t="str" cm="1">
        <f t="array" ref="E12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23" s="17" t="s">
        <v>67</v>
      </c>
      <c r="G123" s="17" t="str" cm="1">
        <f t="array" ref="G12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23" s="17" t="s">
        <v>421</v>
      </c>
      <c r="I123" s="17" t="s">
        <v>409</v>
      </c>
      <c r="J123" s="17" t="s">
        <v>357</v>
      </c>
      <c r="K123" s="17" t="s">
        <v>15</v>
      </c>
      <c r="L123" s="17" t="s">
        <v>16</v>
      </c>
      <c r="M123" s="17" t="s">
        <v>16</v>
      </c>
      <c r="N123" s="17" t="s">
        <v>16</v>
      </c>
      <c r="O123" s="17" t="s">
        <v>892</v>
      </c>
      <c r="P123" s="17" t="s">
        <v>892</v>
      </c>
      <c r="Q123" s="17"/>
      <c r="R123" s="17" t="s">
        <v>892</v>
      </c>
      <c r="S123" s="17" t="s">
        <v>892</v>
      </c>
      <c r="T123" s="17" t="s">
        <v>892</v>
      </c>
      <c r="U123" s="17" t="s">
        <v>892</v>
      </c>
      <c r="V123" s="17"/>
      <c r="W123" s="17" t="s">
        <v>952</v>
      </c>
      <c r="X123" s="17"/>
      <c r="Y123" s="17"/>
      <c r="Z123" s="17"/>
      <c r="AA123" s="17"/>
      <c r="AB123" s="17"/>
      <c r="AC123" s="17"/>
      <c r="AD123" s="17"/>
      <c r="AE123" s="17"/>
      <c r="AF123" s="17"/>
      <c r="AG123" s="17"/>
      <c r="AH123" s="17" t="s">
        <v>905</v>
      </c>
    </row>
    <row r="124" spans="1:34" ht="35.25" customHeight="1">
      <c r="A124" s="53" t="s">
        <v>1149</v>
      </c>
      <c r="B124" s="21" t="s">
        <v>758</v>
      </c>
      <c r="C124" s="17" t="s">
        <v>759</v>
      </c>
      <c r="D124" s="17" t="s">
        <v>1148</v>
      </c>
      <c r="E124" s="17" t="str" cm="1">
        <f t="array" ref="E12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24" s="17" t="s">
        <v>67</v>
      </c>
      <c r="G124" s="17" t="str" cm="1">
        <f t="array" ref="G12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24" s="17" t="s">
        <v>421</v>
      </c>
      <c r="I124" s="17" t="s">
        <v>409</v>
      </c>
      <c r="J124" s="17" t="s">
        <v>357</v>
      </c>
      <c r="K124" s="17" t="s">
        <v>15</v>
      </c>
      <c r="L124" s="17" t="s">
        <v>16</v>
      </c>
      <c r="M124" s="17" t="s">
        <v>16</v>
      </c>
      <c r="N124" s="17" t="s">
        <v>16</v>
      </c>
      <c r="O124" s="17" t="s">
        <v>892</v>
      </c>
      <c r="P124" s="17"/>
      <c r="Q124" s="17"/>
      <c r="R124" s="17" t="s">
        <v>892</v>
      </c>
      <c r="S124" s="17" t="s">
        <v>892</v>
      </c>
      <c r="T124" s="17" t="s">
        <v>892</v>
      </c>
      <c r="U124" s="17" t="s">
        <v>892</v>
      </c>
      <c r="V124" s="17"/>
      <c r="W124" s="17" t="s">
        <v>952</v>
      </c>
      <c r="X124" s="17"/>
      <c r="Y124" s="17"/>
      <c r="Z124" s="17"/>
      <c r="AA124" s="17"/>
      <c r="AB124" s="17"/>
      <c r="AC124" s="17"/>
      <c r="AD124" s="17"/>
      <c r="AE124" s="17"/>
      <c r="AF124" s="17"/>
      <c r="AG124" s="17"/>
      <c r="AH124" s="17" t="s">
        <v>905</v>
      </c>
    </row>
    <row r="125" spans="1:34" ht="35.25" customHeight="1">
      <c r="A125" s="53" t="s">
        <v>1150</v>
      </c>
      <c r="B125" s="21" t="s">
        <v>1151</v>
      </c>
      <c r="C125" s="17" t="s">
        <v>761</v>
      </c>
      <c r="D125" s="17" t="s">
        <v>1148</v>
      </c>
      <c r="E125" s="17" t="str" cm="1">
        <f t="array" ref="E12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25" s="17" t="s">
        <v>67</v>
      </c>
      <c r="G125" s="17" t="str" cm="1">
        <f t="array" ref="G12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25" s="17" t="s">
        <v>421</v>
      </c>
      <c r="I125" s="17" t="s">
        <v>409</v>
      </c>
      <c r="J125" s="17" t="s">
        <v>357</v>
      </c>
      <c r="K125" s="17" t="s">
        <v>15</v>
      </c>
      <c r="L125" s="17" t="s">
        <v>16</v>
      </c>
      <c r="M125" s="17" t="s">
        <v>16</v>
      </c>
      <c r="N125" s="17" t="s">
        <v>16</v>
      </c>
      <c r="O125" s="17" t="s">
        <v>892</v>
      </c>
      <c r="P125" s="17"/>
      <c r="Q125" s="17"/>
      <c r="R125" s="17" t="s">
        <v>892</v>
      </c>
      <c r="S125" s="17" t="s">
        <v>892</v>
      </c>
      <c r="T125" s="17" t="s">
        <v>892</v>
      </c>
      <c r="U125" s="17" t="s">
        <v>892</v>
      </c>
      <c r="V125" s="17"/>
      <c r="W125" s="17" t="s">
        <v>952</v>
      </c>
      <c r="X125" s="17"/>
      <c r="Y125" s="17"/>
      <c r="Z125" s="17"/>
      <c r="AA125" s="17"/>
      <c r="AB125" s="17"/>
      <c r="AC125" s="17"/>
      <c r="AD125" s="17"/>
      <c r="AE125" s="17"/>
      <c r="AF125" s="17"/>
      <c r="AG125" s="17"/>
      <c r="AH125" s="17" t="s">
        <v>905</v>
      </c>
    </row>
    <row r="126" spans="1:34" ht="35.25" customHeight="1">
      <c r="A126" s="53" t="s">
        <v>1152</v>
      </c>
      <c r="B126" s="21" t="s">
        <v>1153</v>
      </c>
      <c r="C126" s="17" t="s">
        <v>763</v>
      </c>
      <c r="D126" s="17" t="s">
        <v>1148</v>
      </c>
      <c r="E126" s="17" t="str" cm="1">
        <f t="array" ref="E12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26" s="17" t="s">
        <v>67</v>
      </c>
      <c r="G126" s="17" t="str" cm="1">
        <f t="array" ref="G12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26" s="17" t="s">
        <v>421</v>
      </c>
      <c r="I126" s="17" t="s">
        <v>409</v>
      </c>
      <c r="J126" s="17" t="s">
        <v>357</v>
      </c>
      <c r="K126" s="17" t="s">
        <v>15</v>
      </c>
      <c r="L126" s="17" t="s">
        <v>16</v>
      </c>
      <c r="M126" s="17" t="s">
        <v>16</v>
      </c>
      <c r="N126" s="17" t="s">
        <v>16</v>
      </c>
      <c r="O126" s="17" t="s">
        <v>892</v>
      </c>
      <c r="P126" s="17"/>
      <c r="Q126" s="17"/>
      <c r="R126" s="17" t="s">
        <v>892</v>
      </c>
      <c r="S126" s="17" t="s">
        <v>892</v>
      </c>
      <c r="T126" s="17" t="s">
        <v>892</v>
      </c>
      <c r="U126" s="17" t="s">
        <v>892</v>
      </c>
      <c r="V126" s="17"/>
      <c r="W126" s="17" t="s">
        <v>952</v>
      </c>
      <c r="X126" s="17"/>
      <c r="Y126" s="17"/>
      <c r="Z126" s="17"/>
      <c r="AA126" s="17"/>
      <c r="AB126" s="17"/>
      <c r="AC126" s="17"/>
      <c r="AD126" s="17"/>
      <c r="AE126" s="17"/>
      <c r="AF126" s="17"/>
      <c r="AG126" s="17"/>
      <c r="AH126" s="17" t="s">
        <v>905</v>
      </c>
    </row>
    <row r="127" spans="1:34" ht="35.25" customHeight="1">
      <c r="A127" s="53" t="s">
        <v>1154</v>
      </c>
      <c r="B127" s="21" t="s">
        <v>338</v>
      </c>
      <c r="C127" s="17" t="s">
        <v>1155</v>
      </c>
      <c r="D127" s="17" t="s">
        <v>340</v>
      </c>
      <c r="E127" s="17" t="str" cm="1">
        <f t="array" ref="E12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27" s="17" t="s">
        <v>32</v>
      </c>
      <c r="G127" s="17" t="str" cm="1">
        <f t="array" ref="G12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27" s="17" t="s">
        <v>33</v>
      </c>
      <c r="I127" s="17" t="s">
        <v>425</v>
      </c>
      <c r="J127" s="17" t="s">
        <v>341</v>
      </c>
      <c r="K127" s="17" t="s">
        <v>16</v>
      </c>
      <c r="L127" s="17" t="s">
        <v>16</v>
      </c>
      <c r="M127" s="17" t="s">
        <v>16</v>
      </c>
      <c r="N127" s="17" t="s">
        <v>16</v>
      </c>
      <c r="O127" s="17" t="s">
        <v>913</v>
      </c>
      <c r="P127" s="17"/>
      <c r="Q127" s="17"/>
      <c r="R127" s="17" t="s">
        <v>892</v>
      </c>
      <c r="S127" s="17" t="s">
        <v>892</v>
      </c>
      <c r="T127" s="17" t="s">
        <v>892</v>
      </c>
      <c r="U127" s="17" t="s">
        <v>892</v>
      </c>
      <c r="V127" s="17"/>
      <c r="W127" s="17" t="s">
        <v>987</v>
      </c>
      <c r="X127" s="17"/>
      <c r="Y127" s="17"/>
      <c r="Z127" s="17"/>
      <c r="AA127" s="17"/>
      <c r="AB127" s="17"/>
      <c r="AC127" s="17"/>
      <c r="AD127" s="17"/>
      <c r="AE127" s="17"/>
      <c r="AF127" s="17"/>
      <c r="AG127" s="17"/>
      <c r="AH127" s="17" t="s">
        <v>905</v>
      </c>
    </row>
    <row r="128" spans="1:34" ht="35.25" customHeight="1">
      <c r="A128" s="53" t="s">
        <v>1156</v>
      </c>
      <c r="B128" s="21" t="s">
        <v>342</v>
      </c>
      <c r="C128" s="17" t="s">
        <v>1157</v>
      </c>
      <c r="D128" s="17" t="s">
        <v>340</v>
      </c>
      <c r="E128" s="17" t="str" cm="1">
        <f t="array" ref="E12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28" s="17" t="s">
        <v>32</v>
      </c>
      <c r="G128" s="17" t="str" cm="1">
        <f t="array" ref="G12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28" s="17" t="s">
        <v>33</v>
      </c>
      <c r="I128" s="17" t="s">
        <v>425</v>
      </c>
      <c r="J128" s="17" t="s">
        <v>341</v>
      </c>
      <c r="K128" s="17" t="s">
        <v>16</v>
      </c>
      <c r="L128" s="17" t="s">
        <v>16</v>
      </c>
      <c r="M128" s="17" t="s">
        <v>16</v>
      </c>
      <c r="N128" s="17" t="s">
        <v>16</v>
      </c>
      <c r="O128" s="17" t="s">
        <v>913</v>
      </c>
      <c r="P128" s="17"/>
      <c r="Q128" s="17"/>
      <c r="R128" s="17" t="s">
        <v>892</v>
      </c>
      <c r="S128" s="17" t="s">
        <v>892</v>
      </c>
      <c r="T128" s="17" t="s">
        <v>892</v>
      </c>
      <c r="U128" s="17" t="s">
        <v>892</v>
      </c>
      <c r="V128" s="17"/>
      <c r="W128" s="17" t="s">
        <v>987</v>
      </c>
      <c r="X128" s="17"/>
      <c r="Y128" s="17"/>
      <c r="Z128" s="17"/>
      <c r="AA128" s="17"/>
      <c r="AB128" s="17"/>
      <c r="AC128" s="17"/>
      <c r="AD128" s="17"/>
      <c r="AE128" s="17"/>
      <c r="AF128" s="17"/>
      <c r="AG128" s="17"/>
      <c r="AH128" s="17" t="s">
        <v>988</v>
      </c>
    </row>
    <row r="129" spans="1:34" ht="35.25" customHeight="1">
      <c r="A129" s="53" t="s">
        <v>1158</v>
      </c>
      <c r="B129" s="21" t="s">
        <v>344</v>
      </c>
      <c r="C129" s="17" t="s">
        <v>1159</v>
      </c>
      <c r="D129" s="17" t="s">
        <v>340</v>
      </c>
      <c r="E129" s="17" t="str" cm="1">
        <f t="array" ref="E12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29" s="17" t="s">
        <v>32</v>
      </c>
      <c r="G129" s="17" t="str" cm="1">
        <f t="array" ref="G12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29" s="17" t="s">
        <v>33</v>
      </c>
      <c r="I129" s="17" t="s">
        <v>425</v>
      </c>
      <c r="J129" s="17" t="s">
        <v>341</v>
      </c>
      <c r="K129" s="17" t="s">
        <v>16</v>
      </c>
      <c r="L129" s="17" t="s">
        <v>16</v>
      </c>
      <c r="M129" s="17" t="s">
        <v>16</v>
      </c>
      <c r="N129" s="17" t="s">
        <v>16</v>
      </c>
      <c r="O129" s="17" t="s">
        <v>913</v>
      </c>
      <c r="P129" s="17"/>
      <c r="Q129" s="17"/>
      <c r="R129" s="17" t="s">
        <v>892</v>
      </c>
      <c r="S129" s="17" t="s">
        <v>892</v>
      </c>
      <c r="T129" s="17" t="s">
        <v>892</v>
      </c>
      <c r="U129" s="17" t="s">
        <v>892</v>
      </c>
      <c r="V129" s="17"/>
      <c r="W129" s="17" t="s">
        <v>987</v>
      </c>
      <c r="X129" s="17"/>
      <c r="Y129" s="17"/>
      <c r="Z129" s="17"/>
      <c r="AA129" s="17"/>
      <c r="AB129" s="17"/>
      <c r="AC129" s="17"/>
      <c r="AD129" s="17"/>
      <c r="AE129" s="17"/>
      <c r="AF129" s="17"/>
      <c r="AG129" s="17"/>
      <c r="AH129" s="17" t="s">
        <v>988</v>
      </c>
    </row>
    <row r="130" spans="1:34" ht="35.25" customHeight="1">
      <c r="A130" s="53" t="s">
        <v>1160</v>
      </c>
      <c r="B130" s="21" t="s">
        <v>1161</v>
      </c>
      <c r="C130" s="17" t="s">
        <v>1162</v>
      </c>
      <c r="D130" s="17" t="s">
        <v>340</v>
      </c>
      <c r="E130" s="17" t="str" cm="1">
        <f t="array" ref="E13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30" s="17" t="s">
        <v>32</v>
      </c>
      <c r="G130" s="17" t="str" cm="1">
        <f t="array" ref="G13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30" s="17" t="s">
        <v>29</v>
      </c>
      <c r="I130" s="17" t="s">
        <v>425</v>
      </c>
      <c r="J130" s="17" t="s">
        <v>341</v>
      </c>
      <c r="K130" s="17" t="s">
        <v>16</v>
      </c>
      <c r="L130" s="17" t="s">
        <v>16</v>
      </c>
      <c r="M130" s="17" t="s">
        <v>16</v>
      </c>
      <c r="N130" s="17" t="s">
        <v>16</v>
      </c>
      <c r="O130" s="17" t="s">
        <v>892</v>
      </c>
      <c r="P130" s="17"/>
      <c r="Q130" s="17"/>
      <c r="R130" s="17" t="s">
        <v>892</v>
      </c>
      <c r="S130" s="17" t="s">
        <v>892</v>
      </c>
      <c r="T130" s="17" t="s">
        <v>892</v>
      </c>
      <c r="U130" s="17" t="s">
        <v>892</v>
      </c>
      <c r="V130" s="17"/>
      <c r="W130" s="17" t="s">
        <v>987</v>
      </c>
      <c r="X130" s="17"/>
      <c r="Y130" s="17"/>
      <c r="Z130" s="17"/>
      <c r="AA130" s="17"/>
      <c r="AB130" s="17"/>
      <c r="AC130" s="17"/>
      <c r="AD130" s="17"/>
      <c r="AE130" s="17"/>
      <c r="AF130" s="17"/>
      <c r="AG130" s="17"/>
      <c r="AH130" s="17" t="s">
        <v>988</v>
      </c>
    </row>
    <row r="131" spans="1:34" ht="35.25" customHeight="1">
      <c r="A131" s="53" t="s">
        <v>1163</v>
      </c>
      <c r="B131" s="21" t="s">
        <v>349</v>
      </c>
      <c r="C131" s="17" t="s">
        <v>1164</v>
      </c>
      <c r="D131" s="17" t="s">
        <v>340</v>
      </c>
      <c r="E131" s="17" t="str" cm="1">
        <f t="array" ref="E13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31" s="17" t="s">
        <v>32</v>
      </c>
      <c r="G131" s="17" t="str" cm="1">
        <f t="array" ref="G13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31" s="17" t="s">
        <v>33</v>
      </c>
      <c r="I131" s="17" t="s">
        <v>425</v>
      </c>
      <c r="J131" s="17" t="s">
        <v>341</v>
      </c>
      <c r="K131" s="17" t="s">
        <v>16</v>
      </c>
      <c r="L131" s="17" t="s">
        <v>16</v>
      </c>
      <c r="M131" s="17" t="s">
        <v>16</v>
      </c>
      <c r="N131" s="17" t="s">
        <v>16</v>
      </c>
      <c r="O131" s="17" t="s">
        <v>913</v>
      </c>
      <c r="P131" s="17"/>
      <c r="Q131" s="17"/>
      <c r="R131" s="17" t="s">
        <v>892</v>
      </c>
      <c r="S131" s="17" t="s">
        <v>892</v>
      </c>
      <c r="T131" s="17" t="s">
        <v>892</v>
      </c>
      <c r="U131" s="17" t="s">
        <v>892</v>
      </c>
      <c r="V131" s="17"/>
      <c r="W131" s="17" t="s">
        <v>987</v>
      </c>
      <c r="X131" s="17"/>
      <c r="Y131" s="17"/>
      <c r="Z131" s="17"/>
      <c r="AA131" s="17"/>
      <c r="AB131" s="17"/>
      <c r="AC131" s="17"/>
      <c r="AD131" s="17"/>
      <c r="AE131" s="17"/>
      <c r="AF131" s="17"/>
      <c r="AG131" s="17"/>
      <c r="AH131" s="17" t="s">
        <v>988</v>
      </c>
    </row>
    <row r="132" spans="1:34" ht="35.25" customHeight="1">
      <c r="A132" s="53" t="s">
        <v>1165</v>
      </c>
      <c r="B132" s="21" t="s">
        <v>351</v>
      </c>
      <c r="C132" s="17" t="s">
        <v>1166</v>
      </c>
      <c r="D132" s="17" t="s">
        <v>340</v>
      </c>
      <c r="E132" s="17" t="str" cm="1">
        <f t="array" ref="E13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32" s="17" t="s">
        <v>32</v>
      </c>
      <c r="G132" s="17" t="str" cm="1">
        <f t="array" ref="G13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32" s="17" t="s">
        <v>33</v>
      </c>
      <c r="I132" s="17" t="s">
        <v>425</v>
      </c>
      <c r="J132" s="17" t="s">
        <v>341</v>
      </c>
      <c r="K132" s="17" t="s">
        <v>16</v>
      </c>
      <c r="L132" s="17" t="s">
        <v>16</v>
      </c>
      <c r="M132" s="17" t="s">
        <v>16</v>
      </c>
      <c r="N132" s="17" t="s">
        <v>16</v>
      </c>
      <c r="O132" s="17" t="s">
        <v>913</v>
      </c>
      <c r="P132" s="17"/>
      <c r="Q132" s="17"/>
      <c r="R132" s="17" t="s">
        <v>892</v>
      </c>
      <c r="S132" s="17" t="s">
        <v>892</v>
      </c>
      <c r="T132" s="17" t="s">
        <v>892</v>
      </c>
      <c r="U132" s="17" t="s">
        <v>892</v>
      </c>
      <c r="V132" s="17"/>
      <c r="W132" s="17" t="s">
        <v>987</v>
      </c>
      <c r="X132" s="17"/>
      <c r="Y132" s="17"/>
      <c r="Z132" s="17"/>
      <c r="AA132" s="17"/>
      <c r="AB132" s="17"/>
      <c r="AC132" s="17"/>
      <c r="AD132" s="17"/>
      <c r="AE132" s="17"/>
      <c r="AF132" s="17"/>
      <c r="AG132" s="17"/>
      <c r="AH132" s="17" t="s">
        <v>988</v>
      </c>
    </row>
    <row r="133" spans="1:34" ht="35.25" customHeight="1">
      <c r="A133" s="53" t="s">
        <v>1167</v>
      </c>
      <c r="B133" s="21" t="s">
        <v>353</v>
      </c>
      <c r="C133" s="17" t="s">
        <v>1168</v>
      </c>
      <c r="D133" s="17" t="s">
        <v>340</v>
      </c>
      <c r="E133" s="17" t="str" cm="1">
        <f t="array" ref="E13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33" s="17" t="s">
        <v>32</v>
      </c>
      <c r="G133" s="17" t="str" cm="1">
        <f t="array" ref="G13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33" s="17" t="s">
        <v>14</v>
      </c>
      <c r="I133" s="17" t="s">
        <v>425</v>
      </c>
      <c r="J133" s="17" t="s">
        <v>341</v>
      </c>
      <c r="K133" s="17" t="s">
        <v>16</v>
      </c>
      <c r="L133" s="17" t="s">
        <v>16</v>
      </c>
      <c r="M133" s="17" t="s">
        <v>16</v>
      </c>
      <c r="N133" s="17" t="s">
        <v>16</v>
      </c>
      <c r="O133" s="17" t="s">
        <v>913</v>
      </c>
      <c r="P133" s="17"/>
      <c r="Q133" s="17"/>
      <c r="R133" s="17" t="s">
        <v>892</v>
      </c>
      <c r="S133" s="17" t="s">
        <v>892</v>
      </c>
      <c r="T133" s="17" t="s">
        <v>892</v>
      </c>
      <c r="U133" s="17" t="s">
        <v>892</v>
      </c>
      <c r="V133" s="17"/>
      <c r="W133" s="17" t="s">
        <v>987</v>
      </c>
      <c r="X133" s="17"/>
      <c r="Y133" s="17"/>
      <c r="Z133" s="17"/>
      <c r="AA133" s="17"/>
      <c r="AB133" s="17"/>
      <c r="AC133" s="17"/>
      <c r="AD133" s="17"/>
      <c r="AE133" s="17"/>
      <c r="AF133" s="17"/>
      <c r="AG133" s="17"/>
      <c r="AH133" s="17" t="s">
        <v>988</v>
      </c>
    </row>
    <row r="134" spans="1:34" ht="35.25" customHeight="1">
      <c r="A134" s="53" t="s">
        <v>1169</v>
      </c>
      <c r="B134" s="21" t="s">
        <v>355</v>
      </c>
      <c r="C134" s="17" t="s">
        <v>1170</v>
      </c>
      <c r="D134" s="17" t="s">
        <v>340</v>
      </c>
      <c r="E134" s="17" t="str" cm="1">
        <f t="array" ref="E13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34" s="17" t="s">
        <v>35</v>
      </c>
      <c r="G134" s="17" t="str" cm="1">
        <f t="array" ref="G13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34" s="17" t="s">
        <v>29</v>
      </c>
      <c r="I134" s="17" t="s">
        <v>425</v>
      </c>
      <c r="J134" s="17" t="s">
        <v>357</v>
      </c>
      <c r="K134" s="17" t="s">
        <v>16</v>
      </c>
      <c r="L134" s="17" t="s">
        <v>16</v>
      </c>
      <c r="M134" s="17" t="s">
        <v>16</v>
      </c>
      <c r="N134" s="17" t="s">
        <v>16</v>
      </c>
      <c r="O134" s="17" t="s">
        <v>892</v>
      </c>
      <c r="P134" s="17"/>
      <c r="Q134" s="17"/>
      <c r="R134" s="17" t="s">
        <v>892</v>
      </c>
      <c r="S134" s="17" t="s">
        <v>892</v>
      </c>
      <c r="T134" s="17" t="s">
        <v>892</v>
      </c>
      <c r="U134" s="17" t="s">
        <v>892</v>
      </c>
      <c r="V134" s="17"/>
      <c r="W134" s="17" t="s">
        <v>854</v>
      </c>
      <c r="X134" s="17"/>
      <c r="Y134" s="17"/>
      <c r="Z134" s="17"/>
      <c r="AA134" s="17"/>
      <c r="AB134" s="17"/>
      <c r="AC134" s="17"/>
      <c r="AD134" s="17"/>
      <c r="AE134" s="17"/>
      <c r="AF134" s="17"/>
      <c r="AG134" s="17"/>
      <c r="AH134" s="17" t="s">
        <v>968</v>
      </c>
    </row>
    <row r="135" spans="1:34" ht="35.25" customHeight="1">
      <c r="A135" s="53" t="s">
        <v>1171</v>
      </c>
      <c r="B135" s="21" t="s">
        <v>358</v>
      </c>
      <c r="C135" s="17" t="s">
        <v>1172</v>
      </c>
      <c r="D135" s="17" t="s">
        <v>340</v>
      </c>
      <c r="E135" s="17" t="str" cm="1">
        <f t="array" ref="E13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135" s="17" t="s">
        <v>22</v>
      </c>
      <c r="G135" s="17" t="str" cm="1">
        <f t="array" ref="G13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135" s="17" t="s">
        <v>271</v>
      </c>
      <c r="I135" s="17" t="s">
        <v>425</v>
      </c>
      <c r="J135" s="17" t="s">
        <v>341</v>
      </c>
      <c r="K135" s="17" t="s">
        <v>16</v>
      </c>
      <c r="L135" s="17" t="s">
        <v>16</v>
      </c>
      <c r="M135" s="17" t="s">
        <v>16</v>
      </c>
      <c r="N135" s="17" t="s">
        <v>16</v>
      </c>
      <c r="O135" s="17" t="s">
        <v>892</v>
      </c>
      <c r="P135" s="17"/>
      <c r="Q135" s="17"/>
      <c r="R135" s="17" t="s">
        <v>892</v>
      </c>
      <c r="S135" s="17" t="s">
        <v>892</v>
      </c>
      <c r="T135" s="17" t="s">
        <v>892</v>
      </c>
      <c r="U135" s="17" t="s">
        <v>892</v>
      </c>
      <c r="V135" s="17"/>
      <c r="W135" s="17" t="s">
        <v>987</v>
      </c>
      <c r="X135" s="17"/>
      <c r="Y135" s="17"/>
      <c r="Z135" s="17"/>
      <c r="AA135" s="17"/>
      <c r="AB135" s="17"/>
      <c r="AC135" s="17"/>
      <c r="AD135" s="17"/>
      <c r="AE135" s="17"/>
      <c r="AF135" s="17"/>
      <c r="AG135" s="17"/>
      <c r="AH135" s="17" t="s">
        <v>988</v>
      </c>
    </row>
    <row r="136" spans="1:34" ht="35.25" customHeight="1">
      <c r="A136" s="53" t="s">
        <v>1173</v>
      </c>
      <c r="B136" s="21" t="s">
        <v>360</v>
      </c>
      <c r="C136" s="17" t="s">
        <v>1174</v>
      </c>
      <c r="D136" s="17" t="s">
        <v>340</v>
      </c>
      <c r="E136" s="17" t="str" cm="1">
        <f t="array" ref="E13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36" s="17" t="s">
        <v>32</v>
      </c>
      <c r="G136" s="17" t="str" cm="1">
        <f t="array" ref="G13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36" s="17" t="s">
        <v>33</v>
      </c>
      <c r="I136" s="17" t="s">
        <v>425</v>
      </c>
      <c r="J136" s="17" t="s">
        <v>341</v>
      </c>
      <c r="K136" s="17" t="s">
        <v>16</v>
      </c>
      <c r="L136" s="17" t="s">
        <v>16</v>
      </c>
      <c r="M136" s="17" t="s">
        <v>16</v>
      </c>
      <c r="N136" s="17" t="s">
        <v>16</v>
      </c>
      <c r="O136" s="17" t="s">
        <v>913</v>
      </c>
      <c r="P136" s="17"/>
      <c r="Q136" s="17"/>
      <c r="R136" s="17" t="s">
        <v>892</v>
      </c>
      <c r="S136" s="17" t="s">
        <v>892</v>
      </c>
      <c r="T136" s="17" t="s">
        <v>892</v>
      </c>
      <c r="U136" s="17" t="s">
        <v>892</v>
      </c>
      <c r="V136" s="17"/>
      <c r="W136" s="17" t="s">
        <v>987</v>
      </c>
      <c r="X136" s="17"/>
      <c r="Y136" s="17"/>
      <c r="Z136" s="17"/>
      <c r="AA136" s="17"/>
      <c r="AB136" s="17"/>
      <c r="AC136" s="17"/>
      <c r="AD136" s="17"/>
      <c r="AE136" s="17"/>
      <c r="AF136" s="17"/>
      <c r="AG136" s="17"/>
      <c r="AH136" s="17" t="s">
        <v>905</v>
      </c>
    </row>
    <row r="137" spans="1:34" ht="35.25" customHeight="1">
      <c r="A137" s="53" t="s">
        <v>1175</v>
      </c>
      <c r="B137" s="21" t="s">
        <v>1176</v>
      </c>
      <c r="C137" s="17" t="s">
        <v>1177</v>
      </c>
      <c r="D137" s="17" t="s">
        <v>340</v>
      </c>
      <c r="E137" s="17" t="str" cm="1">
        <f t="array" ref="E13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37" s="17" t="s">
        <v>32</v>
      </c>
      <c r="G137" s="17" t="str" cm="1">
        <f t="array" ref="G13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37" s="17" t="s">
        <v>33</v>
      </c>
      <c r="I137" s="17" t="s">
        <v>425</v>
      </c>
      <c r="J137" s="17" t="s">
        <v>1178</v>
      </c>
      <c r="K137" s="17" t="s">
        <v>16</v>
      </c>
      <c r="L137" s="17" t="s">
        <v>16</v>
      </c>
      <c r="M137" s="17" t="s">
        <v>16</v>
      </c>
      <c r="N137" s="17" t="s">
        <v>16</v>
      </c>
      <c r="O137" s="17" t="s">
        <v>913</v>
      </c>
      <c r="P137" s="17"/>
      <c r="Q137" s="17"/>
      <c r="R137" s="17" t="s">
        <v>892</v>
      </c>
      <c r="S137" s="17" t="s">
        <v>892</v>
      </c>
      <c r="T137" s="17" t="s">
        <v>892</v>
      </c>
      <c r="U137" s="17" t="s">
        <v>892</v>
      </c>
      <c r="V137" s="17"/>
      <c r="W137" s="17" t="s">
        <v>987</v>
      </c>
      <c r="X137" s="17"/>
      <c r="Y137" s="17"/>
      <c r="Z137" s="17"/>
      <c r="AA137" s="17"/>
      <c r="AB137" s="17"/>
      <c r="AC137" s="17"/>
      <c r="AD137" s="17"/>
      <c r="AE137" s="17"/>
      <c r="AF137" s="17"/>
      <c r="AG137" s="17"/>
      <c r="AH137" s="17" t="s">
        <v>988</v>
      </c>
    </row>
    <row r="138" spans="1:34" ht="35.25" customHeight="1">
      <c r="A138" s="53" t="s">
        <v>1179</v>
      </c>
      <c r="B138" s="21" t="s">
        <v>365</v>
      </c>
      <c r="C138" s="17" t="s">
        <v>1180</v>
      </c>
      <c r="D138" s="17" t="s">
        <v>340</v>
      </c>
      <c r="E138" s="17" t="str" cm="1">
        <f t="array" ref="E13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38" s="17" t="s">
        <v>32</v>
      </c>
      <c r="G138" s="17" t="str" cm="1">
        <f t="array" ref="G13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38" s="17" t="s">
        <v>33</v>
      </c>
      <c r="I138" s="17" t="s">
        <v>425</v>
      </c>
      <c r="J138" s="17" t="s">
        <v>364</v>
      </c>
      <c r="K138" s="17" t="s">
        <v>15</v>
      </c>
      <c r="L138" s="17" t="s">
        <v>16</v>
      </c>
      <c r="M138" s="17" t="s">
        <v>16</v>
      </c>
      <c r="N138" s="17" t="s">
        <v>16</v>
      </c>
      <c r="O138" s="17" t="s">
        <v>913</v>
      </c>
      <c r="P138" s="17"/>
      <c r="Q138" s="17"/>
      <c r="R138" s="17" t="s">
        <v>892</v>
      </c>
      <c r="S138" s="17" t="s">
        <v>892</v>
      </c>
      <c r="T138" s="17" t="s">
        <v>892</v>
      </c>
      <c r="U138" s="17" t="s">
        <v>892</v>
      </c>
      <c r="V138" s="17"/>
      <c r="W138" s="17" t="s">
        <v>993</v>
      </c>
      <c r="X138" s="17"/>
      <c r="Y138" s="17"/>
      <c r="Z138" s="17"/>
      <c r="AA138" s="17"/>
      <c r="AB138" s="17"/>
      <c r="AC138" s="17"/>
      <c r="AD138" s="17"/>
      <c r="AE138" s="17"/>
      <c r="AF138" s="17"/>
      <c r="AG138" s="17"/>
      <c r="AH138" s="17" t="s">
        <v>988</v>
      </c>
    </row>
    <row r="139" spans="1:34" ht="35.25" customHeight="1">
      <c r="A139" s="53" t="s">
        <v>1181</v>
      </c>
      <c r="B139" s="21" t="s">
        <v>367</v>
      </c>
      <c r="C139" s="17" t="s">
        <v>1182</v>
      </c>
      <c r="D139" s="17" t="s">
        <v>340</v>
      </c>
      <c r="E139" s="17" t="str" cm="1">
        <f t="array" ref="E13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39" s="17" t="s">
        <v>32</v>
      </c>
      <c r="G139" s="17" t="str" cm="1">
        <f t="array" ref="G13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39" s="17" t="s">
        <v>33</v>
      </c>
      <c r="I139" s="17" t="s">
        <v>425</v>
      </c>
      <c r="J139" s="17" t="s">
        <v>364</v>
      </c>
      <c r="K139" s="17" t="s">
        <v>15</v>
      </c>
      <c r="L139" s="17" t="s">
        <v>16</v>
      </c>
      <c r="M139" s="17" t="s">
        <v>16</v>
      </c>
      <c r="N139" s="17" t="s">
        <v>16</v>
      </c>
      <c r="O139" s="17" t="s">
        <v>913</v>
      </c>
      <c r="P139" s="17"/>
      <c r="Q139" s="17"/>
      <c r="R139" s="17" t="s">
        <v>892</v>
      </c>
      <c r="S139" s="17" t="s">
        <v>892</v>
      </c>
      <c r="T139" s="17" t="s">
        <v>892</v>
      </c>
      <c r="U139" s="17" t="s">
        <v>892</v>
      </c>
      <c r="V139" s="17"/>
      <c r="W139" s="17" t="s">
        <v>993</v>
      </c>
      <c r="X139" s="17"/>
      <c r="Y139" s="17"/>
      <c r="Z139" s="17"/>
      <c r="AA139" s="17"/>
      <c r="AB139" s="17"/>
      <c r="AC139" s="17"/>
      <c r="AD139" s="17"/>
      <c r="AE139" s="17"/>
      <c r="AF139" s="17"/>
      <c r="AG139" s="17"/>
      <c r="AH139" s="17" t="s">
        <v>988</v>
      </c>
    </row>
    <row r="140" spans="1:34" ht="35.25" customHeight="1">
      <c r="A140" s="53" t="s">
        <v>1183</v>
      </c>
      <c r="B140" s="21" t="s">
        <v>1184</v>
      </c>
      <c r="C140" s="17" t="s">
        <v>1185</v>
      </c>
      <c r="D140" s="17" t="s">
        <v>1186</v>
      </c>
      <c r="E140" s="17" t="str" cm="1">
        <f t="array" ref="E14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40" s="17" t="s">
        <v>25</v>
      </c>
      <c r="G140" s="17" t="str" cm="1">
        <f t="array" ref="G14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40" s="17" t="s">
        <v>375</v>
      </c>
      <c r="I140" s="17" t="s">
        <v>409</v>
      </c>
      <c r="J140" s="17" t="s">
        <v>423</v>
      </c>
      <c r="K140" s="17" t="s">
        <v>16</v>
      </c>
      <c r="L140" s="17" t="s">
        <v>16</v>
      </c>
      <c r="M140" s="17" t="s">
        <v>16</v>
      </c>
      <c r="N140" s="17" t="s">
        <v>16</v>
      </c>
      <c r="O140" s="17" t="s">
        <v>913</v>
      </c>
      <c r="P140" s="17"/>
      <c r="Q140" s="17"/>
      <c r="R140" s="17" t="s">
        <v>892</v>
      </c>
      <c r="S140" s="17" t="s">
        <v>892</v>
      </c>
      <c r="T140" s="17" t="s">
        <v>892</v>
      </c>
      <c r="U140" s="17" t="s">
        <v>892</v>
      </c>
      <c r="V140" s="17"/>
      <c r="W140" s="17" t="s">
        <v>854</v>
      </c>
      <c r="X140" s="17"/>
      <c r="Y140" s="17"/>
      <c r="Z140" s="17"/>
      <c r="AA140" s="17"/>
      <c r="AB140" s="17"/>
      <c r="AC140" s="17"/>
      <c r="AD140" s="17"/>
      <c r="AE140" s="17"/>
      <c r="AF140" s="17"/>
      <c r="AG140" s="17"/>
      <c r="AH140" s="17" t="s">
        <v>905</v>
      </c>
    </row>
    <row r="141" spans="1:34" ht="35.25" customHeight="1">
      <c r="A141" s="53" t="s">
        <v>1187</v>
      </c>
      <c r="B141" s="21" t="s">
        <v>1188</v>
      </c>
      <c r="C141" s="17" t="s">
        <v>1189</v>
      </c>
      <c r="D141" s="17" t="s">
        <v>1186</v>
      </c>
      <c r="E141" s="17" t="str" cm="1">
        <f t="array" ref="E14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41" s="17" t="s">
        <v>35</v>
      </c>
      <c r="G141" s="17" t="str" cm="1">
        <f t="array" ref="G14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41" s="17" t="s">
        <v>375</v>
      </c>
      <c r="I141" s="17" t="s">
        <v>453</v>
      </c>
      <c r="J141" s="17" t="s">
        <v>357</v>
      </c>
      <c r="K141" s="17" t="s">
        <v>16</v>
      </c>
      <c r="L141" s="17" t="s">
        <v>16</v>
      </c>
      <c r="M141" s="17" t="s">
        <v>16</v>
      </c>
      <c r="N141" s="17" t="s">
        <v>16</v>
      </c>
      <c r="O141" s="17" t="s">
        <v>913</v>
      </c>
      <c r="P141" s="17"/>
      <c r="Q141" s="17"/>
      <c r="R141" s="17" t="s">
        <v>892</v>
      </c>
      <c r="S141" s="17" t="s">
        <v>892</v>
      </c>
      <c r="T141" s="17" t="s">
        <v>892</v>
      </c>
      <c r="U141" s="17" t="s">
        <v>892</v>
      </c>
      <c r="V141" s="17"/>
      <c r="W141" s="17" t="s">
        <v>854</v>
      </c>
      <c r="X141" s="17"/>
      <c r="Y141" s="17"/>
      <c r="Z141" s="17"/>
      <c r="AA141" s="17"/>
      <c r="AB141" s="17"/>
      <c r="AC141" s="17"/>
      <c r="AD141" s="17"/>
      <c r="AE141" s="17"/>
      <c r="AF141" s="17"/>
      <c r="AG141" s="17"/>
      <c r="AH141" s="17" t="s">
        <v>905</v>
      </c>
    </row>
    <row r="142" spans="1:34" ht="35.25" customHeight="1">
      <c r="A142" s="53" t="s">
        <v>1190</v>
      </c>
      <c r="B142" s="21" t="s">
        <v>1191</v>
      </c>
      <c r="C142" s="17" t="s">
        <v>1192</v>
      </c>
      <c r="D142" s="17" t="s">
        <v>1186</v>
      </c>
      <c r="E142" s="17" t="str" cm="1">
        <f t="array" ref="E14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42" s="17" t="s">
        <v>25</v>
      </c>
      <c r="G142" s="17" t="str" cm="1">
        <f t="array" ref="G14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42" s="17" t="s">
        <v>375</v>
      </c>
      <c r="I142" s="17" t="s">
        <v>409</v>
      </c>
      <c r="J142" s="17" t="s">
        <v>1193</v>
      </c>
      <c r="K142" s="17" t="s">
        <v>16</v>
      </c>
      <c r="L142" s="17" t="s">
        <v>16</v>
      </c>
      <c r="M142" s="17" t="s">
        <v>16</v>
      </c>
      <c r="N142" s="17" t="s">
        <v>16</v>
      </c>
      <c r="O142" s="17" t="s">
        <v>892</v>
      </c>
      <c r="P142" s="17"/>
      <c r="Q142" s="17"/>
      <c r="R142" s="17" t="s">
        <v>892</v>
      </c>
      <c r="S142" s="17" t="s">
        <v>892</v>
      </c>
      <c r="T142" s="17" t="s">
        <v>892</v>
      </c>
      <c r="U142" s="17" t="s">
        <v>892</v>
      </c>
      <c r="V142" s="17"/>
      <c r="W142" s="17" t="s">
        <v>854</v>
      </c>
      <c r="X142" s="17"/>
      <c r="Y142" s="17"/>
      <c r="Z142" s="17"/>
      <c r="AA142" s="17"/>
      <c r="AB142" s="17"/>
      <c r="AC142" s="17"/>
      <c r="AD142" s="17"/>
      <c r="AE142" s="17"/>
      <c r="AF142" s="17"/>
      <c r="AG142" s="17"/>
      <c r="AH142" s="17" t="s">
        <v>988</v>
      </c>
    </row>
    <row r="143" spans="1:34" ht="35.25" customHeight="1">
      <c r="A143" s="53" t="s">
        <v>1194</v>
      </c>
      <c r="B143" s="21" t="s">
        <v>1195</v>
      </c>
      <c r="C143" s="17" t="s">
        <v>1196</v>
      </c>
      <c r="D143" s="17" t="s">
        <v>1186</v>
      </c>
      <c r="E143" s="17" t="str" cm="1">
        <f t="array" ref="E14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143" s="17" t="s">
        <v>22</v>
      </c>
      <c r="G143" s="17" t="str" cm="1">
        <f t="array" ref="G14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143" s="17" t="s">
        <v>375</v>
      </c>
      <c r="I143" s="17" t="s">
        <v>951</v>
      </c>
      <c r="J143" s="17" t="s">
        <v>413</v>
      </c>
      <c r="K143" s="17" t="s">
        <v>16</v>
      </c>
      <c r="L143" s="17" t="s">
        <v>16</v>
      </c>
      <c r="M143" s="17" t="s">
        <v>16</v>
      </c>
      <c r="N143" s="17" t="s">
        <v>16</v>
      </c>
      <c r="O143" s="17" t="s">
        <v>913</v>
      </c>
      <c r="P143" s="17"/>
      <c r="Q143" s="17"/>
      <c r="R143" s="17" t="s">
        <v>891</v>
      </c>
      <c r="S143" s="17" t="s">
        <v>891</v>
      </c>
      <c r="T143" s="17" t="s">
        <v>891</v>
      </c>
      <c r="U143" s="17" t="s">
        <v>891</v>
      </c>
      <c r="V143" s="17"/>
      <c r="W143" s="17" t="s">
        <v>854</v>
      </c>
      <c r="X143" s="17"/>
      <c r="Y143" s="17"/>
      <c r="Z143" s="17"/>
      <c r="AA143" s="17"/>
      <c r="AB143" s="17"/>
      <c r="AC143" s="17"/>
      <c r="AD143" s="17"/>
      <c r="AE143" s="17"/>
      <c r="AF143" s="17"/>
      <c r="AG143" s="17"/>
      <c r="AH143" s="17" t="s">
        <v>934</v>
      </c>
    </row>
    <row r="144" spans="1:34" ht="35.25" customHeight="1">
      <c r="A144" s="53" t="s">
        <v>1197</v>
      </c>
      <c r="B144" s="21" t="s">
        <v>1198</v>
      </c>
      <c r="C144" s="17" t="s">
        <v>1199</v>
      </c>
      <c r="D144" s="17" t="s">
        <v>1186</v>
      </c>
      <c r="E144" s="17" t="str" cm="1">
        <f t="array" ref="E14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44" s="17" t="s">
        <v>102</v>
      </c>
      <c r="G144" s="17" t="str" cm="1">
        <f t="array" ref="G14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44" s="17" t="s">
        <v>375</v>
      </c>
      <c r="I144" s="17" t="s">
        <v>231</v>
      </c>
      <c r="J144" s="17" t="s">
        <v>357</v>
      </c>
      <c r="K144" s="17" t="s">
        <v>16</v>
      </c>
      <c r="L144" s="17" t="s">
        <v>16</v>
      </c>
      <c r="M144" s="17" t="s">
        <v>16</v>
      </c>
      <c r="N144" s="17" t="s">
        <v>16</v>
      </c>
      <c r="O144" s="17" t="s">
        <v>892</v>
      </c>
      <c r="P144" s="17"/>
      <c r="Q144" s="17"/>
      <c r="R144" s="17" t="s">
        <v>892</v>
      </c>
      <c r="S144" s="17" t="s">
        <v>892</v>
      </c>
      <c r="T144" s="17" t="s">
        <v>892</v>
      </c>
      <c r="U144" s="17" t="s">
        <v>892</v>
      </c>
      <c r="V144" s="17"/>
      <c r="W144" s="17" t="s">
        <v>854</v>
      </c>
      <c r="X144" s="17"/>
      <c r="Y144" s="17"/>
      <c r="Z144" s="17"/>
      <c r="AA144" s="17"/>
      <c r="AB144" s="17"/>
      <c r="AC144" s="17"/>
      <c r="AD144" s="17"/>
      <c r="AE144" s="17"/>
      <c r="AF144" s="17"/>
      <c r="AG144" s="17"/>
      <c r="AH144" s="17" t="s">
        <v>905</v>
      </c>
    </row>
    <row r="145" spans="1:34" ht="35.25" customHeight="1">
      <c r="A145" s="53" t="s">
        <v>1200</v>
      </c>
      <c r="B145" s="21" t="s">
        <v>1201</v>
      </c>
      <c r="C145" s="17" t="s">
        <v>1202</v>
      </c>
      <c r="D145" s="17" t="s">
        <v>1186</v>
      </c>
      <c r="E145" s="17" t="str" cm="1">
        <f t="array" ref="E14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45" s="17" t="s">
        <v>102</v>
      </c>
      <c r="G145" s="17" t="str" cm="1">
        <f t="array" ref="G14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45" s="17" t="s">
        <v>375</v>
      </c>
      <c r="I145" s="17" t="s">
        <v>960</v>
      </c>
      <c r="J145" s="17" t="s">
        <v>1203</v>
      </c>
      <c r="K145" s="17" t="s">
        <v>16</v>
      </c>
      <c r="L145" s="17" t="s">
        <v>16</v>
      </c>
      <c r="M145" s="17" t="s">
        <v>16</v>
      </c>
      <c r="N145" s="17" t="s">
        <v>16</v>
      </c>
      <c r="O145" s="17" t="s">
        <v>892</v>
      </c>
      <c r="P145" s="17"/>
      <c r="Q145" s="17"/>
      <c r="R145" s="17" t="s">
        <v>892</v>
      </c>
      <c r="S145" s="17" t="s">
        <v>892</v>
      </c>
      <c r="T145" s="17" t="s">
        <v>892</v>
      </c>
      <c r="U145" s="17" t="s">
        <v>891</v>
      </c>
      <c r="V145" s="17"/>
      <c r="W145" s="17" t="s">
        <v>1204</v>
      </c>
      <c r="X145" s="17"/>
      <c r="Y145" s="17"/>
      <c r="Z145" s="17"/>
      <c r="AA145" s="17"/>
      <c r="AB145" s="17"/>
      <c r="AC145" s="17"/>
      <c r="AD145" s="17"/>
      <c r="AE145" s="17"/>
      <c r="AF145" s="17"/>
      <c r="AG145" s="17"/>
      <c r="AH145" s="17" t="s">
        <v>905</v>
      </c>
    </row>
    <row r="146" spans="1:34" ht="35.25" customHeight="1">
      <c r="A146" s="53" t="s">
        <v>1205</v>
      </c>
      <c r="B146" s="21" t="s">
        <v>1206</v>
      </c>
      <c r="C146" s="17" t="s">
        <v>1207</v>
      </c>
      <c r="D146" s="17" t="s">
        <v>1186</v>
      </c>
      <c r="E146" s="17" t="str" cm="1">
        <f t="array" ref="E14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46" s="17" t="s">
        <v>102</v>
      </c>
      <c r="G146" s="17" t="str" cm="1">
        <f t="array" ref="G14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46" s="17" t="s">
        <v>375</v>
      </c>
      <c r="I146" s="17" t="s">
        <v>453</v>
      </c>
      <c r="J146" s="17" t="s">
        <v>357</v>
      </c>
      <c r="K146" s="17" t="s">
        <v>16</v>
      </c>
      <c r="L146" s="17" t="s">
        <v>16</v>
      </c>
      <c r="M146" s="17" t="s">
        <v>16</v>
      </c>
      <c r="N146" s="17" t="s">
        <v>16</v>
      </c>
      <c r="O146" s="17" t="s">
        <v>892</v>
      </c>
      <c r="P146" s="17"/>
      <c r="Q146" s="17"/>
      <c r="R146" s="17" t="s">
        <v>892</v>
      </c>
      <c r="S146" s="17" t="s">
        <v>892</v>
      </c>
      <c r="T146" s="17" t="s">
        <v>892</v>
      </c>
      <c r="U146" s="17" t="s">
        <v>892</v>
      </c>
      <c r="V146" s="17"/>
      <c r="W146" s="17" t="s">
        <v>854</v>
      </c>
      <c r="X146" s="17"/>
      <c r="Y146" s="17"/>
      <c r="Z146" s="17"/>
      <c r="AA146" s="17"/>
      <c r="AB146" s="17"/>
      <c r="AC146" s="17"/>
      <c r="AD146" s="17"/>
      <c r="AE146" s="17"/>
      <c r="AF146" s="17"/>
      <c r="AG146" s="17"/>
      <c r="AH146" s="17" t="s">
        <v>905</v>
      </c>
    </row>
    <row r="147" spans="1:34" ht="35.25" hidden="1" customHeight="1">
      <c r="A147" s="53" t="s">
        <v>1208</v>
      </c>
      <c r="B147" s="25" t="s">
        <v>1209</v>
      </c>
      <c r="C147" s="17" t="s">
        <v>765</v>
      </c>
      <c r="D147" s="17" t="s">
        <v>1210</v>
      </c>
      <c r="E147" s="17" t="str" cm="1">
        <f t="array" ref="E14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47" s="17" t="s">
        <v>25</v>
      </c>
      <c r="G147" s="17" t="str" cm="1">
        <f t="array" ref="G14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47" s="26" t="s">
        <v>259</v>
      </c>
      <c r="I147" s="26" t="s">
        <v>231</v>
      </c>
      <c r="J147" s="26" t="s">
        <v>410</v>
      </c>
      <c r="K147" s="17" t="s">
        <v>16</v>
      </c>
      <c r="L147" s="17" t="s">
        <v>16</v>
      </c>
      <c r="M147" s="17" t="s">
        <v>16</v>
      </c>
      <c r="N147" s="17" t="s">
        <v>15</v>
      </c>
      <c r="O147" s="26" t="s">
        <v>892</v>
      </c>
      <c r="P147" s="26"/>
      <c r="Q147" s="26"/>
      <c r="R147" s="26" t="s">
        <v>892</v>
      </c>
      <c r="S147" s="26" t="s">
        <v>892</v>
      </c>
      <c r="T147" s="26" t="s">
        <v>892</v>
      </c>
      <c r="U147" s="26" t="s">
        <v>892</v>
      </c>
      <c r="V147" s="26"/>
      <c r="W147" s="26" t="s">
        <v>1204</v>
      </c>
      <c r="X147" s="26"/>
      <c r="Y147" s="26"/>
      <c r="Z147" s="26"/>
      <c r="AA147" s="26"/>
      <c r="AB147" s="26"/>
      <c r="AC147" s="26"/>
      <c r="AD147" s="26"/>
      <c r="AE147" s="26"/>
      <c r="AF147" s="26"/>
      <c r="AG147" s="17"/>
      <c r="AH147" s="17" t="s">
        <v>905</v>
      </c>
    </row>
    <row r="148" spans="1:34" ht="35.25" hidden="1" customHeight="1">
      <c r="A148" s="53" t="s">
        <v>1211</v>
      </c>
      <c r="B148" s="25" t="s">
        <v>329</v>
      </c>
      <c r="C148" s="17" t="s">
        <v>767</v>
      </c>
      <c r="D148" s="17" t="s">
        <v>1210</v>
      </c>
      <c r="E148" s="17" t="str" cm="1">
        <f t="array" ref="E14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48" s="17" t="s">
        <v>35</v>
      </c>
      <c r="G148" s="17" t="str" cm="1">
        <f t="array" ref="G14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48" s="26" t="s">
        <v>23</v>
      </c>
      <c r="I148" s="17" t="s">
        <v>425</v>
      </c>
      <c r="J148" s="17" t="s">
        <v>1178</v>
      </c>
      <c r="K148" s="26" t="s">
        <v>16</v>
      </c>
      <c r="L148" s="26" t="s">
        <v>16</v>
      </c>
      <c r="M148" s="26" t="s">
        <v>16</v>
      </c>
      <c r="N148" s="17" t="s">
        <v>15</v>
      </c>
      <c r="O148" s="26" t="s">
        <v>892</v>
      </c>
      <c r="P148" s="26"/>
      <c r="Q148" s="26"/>
      <c r="R148" s="26" t="s">
        <v>892</v>
      </c>
      <c r="S148" s="26" t="s">
        <v>892</v>
      </c>
      <c r="T148" s="26" t="s">
        <v>892</v>
      </c>
      <c r="U148" s="26" t="s">
        <v>892</v>
      </c>
      <c r="V148" s="26"/>
      <c r="W148" s="26" t="s">
        <v>854</v>
      </c>
      <c r="X148" s="26"/>
      <c r="Y148" s="26"/>
      <c r="Z148" s="26"/>
      <c r="AA148" s="26"/>
      <c r="AB148" s="26"/>
      <c r="AC148" s="26"/>
      <c r="AD148" s="26"/>
      <c r="AE148" s="26"/>
      <c r="AF148" s="26"/>
      <c r="AG148" s="17"/>
      <c r="AH148" s="17" t="s">
        <v>988</v>
      </c>
    </row>
    <row r="149" spans="1:34" ht="35.25" hidden="1" customHeight="1">
      <c r="A149" s="53" t="s">
        <v>1212</v>
      </c>
      <c r="B149" s="21" t="s">
        <v>330</v>
      </c>
      <c r="C149" s="17" t="s">
        <v>769</v>
      </c>
      <c r="D149" s="17" t="s">
        <v>1210</v>
      </c>
      <c r="E149" s="17" t="str" cm="1">
        <f t="array" ref="E14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49" s="17" t="s">
        <v>35</v>
      </c>
      <c r="G149" s="17" t="str" cm="1">
        <f t="array" ref="G14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49" s="17" t="s">
        <v>33</v>
      </c>
      <c r="I149" s="17" t="s">
        <v>425</v>
      </c>
      <c r="J149" s="17" t="s">
        <v>1178</v>
      </c>
      <c r="K149" s="26" t="s">
        <v>16</v>
      </c>
      <c r="L149" s="26" t="s">
        <v>16</v>
      </c>
      <c r="M149" s="26" t="s">
        <v>16</v>
      </c>
      <c r="N149" s="26" t="s">
        <v>15</v>
      </c>
      <c r="O149" s="26" t="s">
        <v>892</v>
      </c>
      <c r="P149" s="26"/>
      <c r="Q149" s="26"/>
      <c r="R149" s="26" t="s">
        <v>892</v>
      </c>
      <c r="S149" s="26" t="s">
        <v>892</v>
      </c>
      <c r="T149" s="26" t="s">
        <v>892</v>
      </c>
      <c r="U149" s="26" t="s">
        <v>892</v>
      </c>
      <c r="V149" s="26"/>
      <c r="W149" s="26" t="s">
        <v>952</v>
      </c>
      <c r="X149" s="26"/>
      <c r="Y149" s="17"/>
      <c r="Z149" s="17"/>
      <c r="AA149" s="17"/>
      <c r="AB149" s="17"/>
      <c r="AC149" s="17"/>
      <c r="AD149" s="17"/>
      <c r="AE149" s="17"/>
      <c r="AF149" s="17"/>
      <c r="AG149" s="17"/>
      <c r="AH149" s="17" t="s">
        <v>988</v>
      </c>
    </row>
    <row r="150" spans="1:34" ht="35.25" hidden="1" customHeight="1">
      <c r="A150" s="53" t="s">
        <v>1213</v>
      </c>
      <c r="B150" s="21" t="s">
        <v>1214</v>
      </c>
      <c r="C150" s="17" t="s">
        <v>771</v>
      </c>
      <c r="D150" s="17" t="s">
        <v>1210</v>
      </c>
      <c r="E150" s="17" t="str" cm="1">
        <f t="array" ref="E15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50" s="17" t="s">
        <v>32</v>
      </c>
      <c r="G150" s="17" t="str" cm="1">
        <f t="array" ref="G15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50" s="17" t="s">
        <v>33</v>
      </c>
      <c r="I150" s="17" t="s">
        <v>453</v>
      </c>
      <c r="J150" s="17" t="s">
        <v>944</v>
      </c>
      <c r="K150" s="26" t="s">
        <v>16</v>
      </c>
      <c r="L150" s="26" t="s">
        <v>16</v>
      </c>
      <c r="M150" s="26" t="s">
        <v>16</v>
      </c>
      <c r="N150" s="26" t="s">
        <v>15</v>
      </c>
      <c r="O150" s="26" t="s">
        <v>892</v>
      </c>
      <c r="P150" s="26"/>
      <c r="Q150" s="26"/>
      <c r="R150" s="26" t="s">
        <v>892</v>
      </c>
      <c r="S150" s="26" t="s">
        <v>892</v>
      </c>
      <c r="T150" s="26" t="s">
        <v>892</v>
      </c>
      <c r="U150" s="26" t="s">
        <v>892</v>
      </c>
      <c r="V150" s="26"/>
      <c r="W150" s="26" t="s">
        <v>966</v>
      </c>
      <c r="X150" s="26"/>
      <c r="Y150" s="17"/>
      <c r="Z150" s="17"/>
      <c r="AA150" s="17"/>
      <c r="AB150" s="17"/>
      <c r="AC150" s="17"/>
      <c r="AD150" s="17"/>
      <c r="AE150" s="17"/>
      <c r="AF150" s="17"/>
      <c r="AG150" s="17"/>
      <c r="AH150" s="17" t="s">
        <v>905</v>
      </c>
    </row>
    <row r="151" spans="1:34" ht="35.25" hidden="1" customHeight="1">
      <c r="A151" s="53" t="s">
        <v>1215</v>
      </c>
      <c r="B151" s="21" t="s">
        <v>332</v>
      </c>
      <c r="C151" s="17" t="s">
        <v>773</v>
      </c>
      <c r="D151" s="17" t="s">
        <v>1210</v>
      </c>
      <c r="E151" s="17" t="str" cm="1">
        <f t="array" ref="E15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51" s="17" t="s">
        <v>25</v>
      </c>
      <c r="G151" s="17" t="str" cm="1">
        <f t="array" ref="G15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51" s="17" t="s">
        <v>23</v>
      </c>
      <c r="I151" s="17" t="s">
        <v>231</v>
      </c>
      <c r="J151" s="17" t="s">
        <v>410</v>
      </c>
      <c r="K151" s="26" t="s">
        <v>16</v>
      </c>
      <c r="L151" s="26" t="s">
        <v>16</v>
      </c>
      <c r="M151" s="26" t="s">
        <v>16</v>
      </c>
      <c r="N151" s="26" t="s">
        <v>15</v>
      </c>
      <c r="O151" s="26" t="s">
        <v>913</v>
      </c>
      <c r="P151" s="26"/>
      <c r="Q151" s="26"/>
      <c r="R151" s="26" t="s">
        <v>892</v>
      </c>
      <c r="S151" s="26" t="s">
        <v>892</v>
      </c>
      <c r="T151" s="26" t="s">
        <v>892</v>
      </c>
      <c r="U151" s="26" t="s">
        <v>892</v>
      </c>
      <c r="V151" s="26"/>
      <c r="W151" s="26" t="s">
        <v>854</v>
      </c>
      <c r="X151" s="26"/>
      <c r="Y151" s="17"/>
      <c r="Z151" s="17"/>
      <c r="AA151" s="17"/>
      <c r="AB151" s="17"/>
      <c r="AC151" s="17"/>
      <c r="AD151" s="17"/>
      <c r="AE151" s="17"/>
      <c r="AF151" s="17"/>
      <c r="AG151" s="17"/>
      <c r="AH151" s="17" t="s">
        <v>905</v>
      </c>
    </row>
    <row r="152" spans="1:34" ht="35.25" hidden="1" customHeight="1">
      <c r="A152" s="53" t="s">
        <v>1216</v>
      </c>
      <c r="B152" s="21" t="s">
        <v>333</v>
      </c>
      <c r="C152" s="17" t="s">
        <v>775</v>
      </c>
      <c r="D152" s="17" t="s">
        <v>1210</v>
      </c>
      <c r="E152" s="17" t="str" cm="1">
        <f t="array" ref="E15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Disponibilidade</v>
      </c>
      <c r="F152" s="17" t="s">
        <v>239</v>
      </c>
      <c r="G152" s="17" t="str" cm="1">
        <f t="array" ref="G15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Indisponibilidade</v>
      </c>
      <c r="H152" s="17" t="s">
        <v>26</v>
      </c>
      <c r="I152" s="17" t="s">
        <v>231</v>
      </c>
      <c r="J152" s="17" t="s">
        <v>944</v>
      </c>
      <c r="K152" s="26" t="s">
        <v>16</v>
      </c>
      <c r="L152" s="26" t="s">
        <v>16</v>
      </c>
      <c r="M152" s="26" t="s">
        <v>16</v>
      </c>
      <c r="N152" s="26" t="s">
        <v>15</v>
      </c>
      <c r="O152" s="26" t="s">
        <v>892</v>
      </c>
      <c r="P152" s="26"/>
      <c r="Q152" s="26"/>
      <c r="R152" s="26" t="s">
        <v>892</v>
      </c>
      <c r="S152" s="26" t="s">
        <v>892</v>
      </c>
      <c r="T152" s="26" t="s">
        <v>892</v>
      </c>
      <c r="U152" s="26" t="s">
        <v>892</v>
      </c>
      <c r="V152" s="26"/>
      <c r="W152" s="26" t="s">
        <v>966</v>
      </c>
      <c r="X152" s="26"/>
      <c r="Y152" s="17"/>
      <c r="Z152" s="17"/>
      <c r="AA152" s="17"/>
      <c r="AB152" s="17"/>
      <c r="AC152" s="17"/>
      <c r="AD152" s="17"/>
      <c r="AE152" s="17"/>
      <c r="AF152" s="17"/>
      <c r="AG152" s="17"/>
      <c r="AH152" s="17" t="s">
        <v>905</v>
      </c>
    </row>
    <row r="153" spans="1:34" ht="35.25" hidden="1" customHeight="1">
      <c r="A153" s="53" t="s">
        <v>1217</v>
      </c>
      <c r="B153" s="21" t="s">
        <v>776</v>
      </c>
      <c r="C153" s="17" t="s">
        <v>777</v>
      </c>
      <c r="D153" s="17" t="s">
        <v>1210</v>
      </c>
      <c r="E153" s="17" t="str" cm="1">
        <f t="array" ref="E15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53" s="17" t="s">
        <v>102</v>
      </c>
      <c r="G153" s="17" t="str" cm="1">
        <f t="array" ref="G15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53" s="17" t="s">
        <v>29</v>
      </c>
      <c r="I153" s="17" t="s">
        <v>231</v>
      </c>
      <c r="J153" s="17" t="s">
        <v>1178</v>
      </c>
      <c r="K153" s="26" t="s">
        <v>16</v>
      </c>
      <c r="L153" s="26" t="s">
        <v>16</v>
      </c>
      <c r="M153" s="26" t="s">
        <v>16</v>
      </c>
      <c r="N153" s="26" t="s">
        <v>15</v>
      </c>
      <c r="O153" s="26" t="s">
        <v>891</v>
      </c>
      <c r="P153" s="26"/>
      <c r="Q153" s="26"/>
      <c r="R153" s="26" t="s">
        <v>892</v>
      </c>
      <c r="S153" s="26" t="s">
        <v>892</v>
      </c>
      <c r="T153" s="26" t="s">
        <v>892</v>
      </c>
      <c r="U153" s="26" t="s">
        <v>892</v>
      </c>
      <c r="V153" s="26"/>
      <c r="W153" s="26" t="s">
        <v>854</v>
      </c>
      <c r="X153" s="26"/>
      <c r="Y153" s="17"/>
      <c r="Z153" s="17"/>
      <c r="AA153" s="17"/>
      <c r="AB153" s="17"/>
      <c r="AC153" s="17"/>
      <c r="AD153" s="17"/>
      <c r="AE153" s="17"/>
      <c r="AF153" s="17"/>
      <c r="AG153" s="17"/>
      <c r="AH153" s="17" t="s">
        <v>905</v>
      </c>
    </row>
    <row r="154" spans="1:34" ht="35.25" hidden="1" customHeight="1">
      <c r="A154" s="53" t="s">
        <v>1218</v>
      </c>
      <c r="B154" s="21" t="s">
        <v>778</v>
      </c>
      <c r="C154" s="17" t="s">
        <v>779</v>
      </c>
      <c r="D154" s="17" t="s">
        <v>1210</v>
      </c>
      <c r="E154" s="17" t="str" cm="1">
        <f t="array" ref="E15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54" s="17" t="s">
        <v>102</v>
      </c>
      <c r="G154" s="17" t="str" cm="1">
        <f t="array" ref="G15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54" s="17" t="s">
        <v>29</v>
      </c>
      <c r="I154" s="17" t="s">
        <v>231</v>
      </c>
      <c r="J154" s="17" t="s">
        <v>1178</v>
      </c>
      <c r="K154" s="17" t="s">
        <v>16</v>
      </c>
      <c r="L154" s="17" t="s">
        <v>16</v>
      </c>
      <c r="M154" s="17" t="s">
        <v>16</v>
      </c>
      <c r="N154" s="17" t="s">
        <v>15</v>
      </c>
      <c r="O154" s="17" t="s">
        <v>891</v>
      </c>
      <c r="P154" s="17"/>
      <c r="Q154" s="17"/>
      <c r="R154" s="17" t="s">
        <v>892</v>
      </c>
      <c r="S154" s="17" t="s">
        <v>892</v>
      </c>
      <c r="T154" s="17" t="s">
        <v>892</v>
      </c>
      <c r="U154" s="17" t="s">
        <v>892</v>
      </c>
      <c r="V154" s="17"/>
      <c r="W154" s="17" t="s">
        <v>854</v>
      </c>
      <c r="X154" s="17"/>
      <c r="Y154" s="17"/>
      <c r="Z154" s="17"/>
      <c r="AA154" s="17"/>
      <c r="AB154" s="17"/>
      <c r="AC154" s="17"/>
      <c r="AD154" s="17"/>
      <c r="AE154" s="17"/>
      <c r="AF154" s="17"/>
      <c r="AG154" s="17"/>
      <c r="AH154" s="17" t="s">
        <v>968</v>
      </c>
    </row>
    <row r="155" spans="1:34" ht="35.25" hidden="1" customHeight="1">
      <c r="A155" s="53" t="s">
        <v>1219</v>
      </c>
      <c r="B155" s="21" t="s">
        <v>1220</v>
      </c>
      <c r="C155" s="17" t="s">
        <v>781</v>
      </c>
      <c r="D155" s="17" t="s">
        <v>1210</v>
      </c>
      <c r="E155" s="17" t="str" cm="1">
        <f t="array" ref="E15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Contenção</v>
      </c>
      <c r="F155" s="17" t="s">
        <v>20</v>
      </c>
      <c r="G155" s="17" t="str" cm="1">
        <f t="array" ref="G15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55" s="17" t="s">
        <v>14</v>
      </c>
      <c r="I155" s="17" t="s">
        <v>231</v>
      </c>
      <c r="J155" s="17" t="s">
        <v>410</v>
      </c>
      <c r="K155" s="17" t="s">
        <v>16</v>
      </c>
      <c r="L155" s="17" t="s">
        <v>16</v>
      </c>
      <c r="M155" s="17" t="s">
        <v>16</v>
      </c>
      <c r="N155" s="17" t="s">
        <v>15</v>
      </c>
      <c r="O155" s="17" t="s">
        <v>891</v>
      </c>
      <c r="P155" s="17"/>
      <c r="Q155" s="17"/>
      <c r="R155" s="17" t="s">
        <v>892</v>
      </c>
      <c r="S155" s="17" t="s">
        <v>892</v>
      </c>
      <c r="T155" s="17" t="s">
        <v>892</v>
      </c>
      <c r="U155" s="17" t="s">
        <v>892</v>
      </c>
      <c r="V155" s="17"/>
      <c r="W155" s="17" t="s">
        <v>854</v>
      </c>
      <c r="X155" s="17"/>
      <c r="Y155" s="17"/>
      <c r="Z155" s="17"/>
      <c r="AA155" s="17"/>
      <c r="AB155" s="17"/>
      <c r="AC155" s="17"/>
      <c r="AD155" s="17"/>
      <c r="AE155" s="17"/>
      <c r="AF155" s="17"/>
      <c r="AG155" s="17"/>
      <c r="AH155" s="17" t="s">
        <v>905</v>
      </c>
    </row>
    <row r="156" spans="1:34" ht="35.25" hidden="1" customHeight="1">
      <c r="A156" s="53" t="s">
        <v>1221</v>
      </c>
      <c r="B156" s="21" t="s">
        <v>1222</v>
      </c>
      <c r="C156" s="17" t="s">
        <v>783</v>
      </c>
      <c r="D156" s="17" t="s">
        <v>1210</v>
      </c>
      <c r="E156" s="17" t="str" cm="1">
        <f t="array" ref="E15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56" s="17" t="s">
        <v>25</v>
      </c>
      <c r="G156" s="17" t="str" cm="1">
        <f t="array" ref="G15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56" s="17" t="s">
        <v>26</v>
      </c>
      <c r="I156" s="17" t="s">
        <v>231</v>
      </c>
      <c r="J156" s="17" t="s">
        <v>1178</v>
      </c>
      <c r="K156" s="17" t="s">
        <v>16</v>
      </c>
      <c r="L156" s="17" t="s">
        <v>16</v>
      </c>
      <c r="M156" s="17" t="s">
        <v>16</v>
      </c>
      <c r="N156" s="17" t="s">
        <v>15</v>
      </c>
      <c r="O156" s="17" t="s">
        <v>891</v>
      </c>
      <c r="P156" s="17"/>
      <c r="Q156" s="17"/>
      <c r="R156" s="17" t="s">
        <v>892</v>
      </c>
      <c r="S156" s="17" t="s">
        <v>892</v>
      </c>
      <c r="T156" s="17" t="s">
        <v>892</v>
      </c>
      <c r="U156" s="17" t="s">
        <v>892</v>
      </c>
      <c r="V156" s="17"/>
      <c r="W156" s="17" t="s">
        <v>854</v>
      </c>
      <c r="X156" s="17"/>
      <c r="Y156" s="17"/>
      <c r="Z156" s="17"/>
      <c r="AA156" s="17"/>
      <c r="AB156" s="17"/>
      <c r="AC156" s="17"/>
      <c r="AD156" s="17"/>
      <c r="AE156" s="17"/>
      <c r="AF156" s="17"/>
      <c r="AG156" s="17"/>
      <c r="AH156" s="17" t="s">
        <v>905</v>
      </c>
    </row>
    <row r="157" spans="1:34" ht="35.25" hidden="1" customHeight="1">
      <c r="A157" s="53" t="s">
        <v>1223</v>
      </c>
      <c r="B157" s="21" t="s">
        <v>784</v>
      </c>
      <c r="C157" s="17" t="s">
        <v>785</v>
      </c>
      <c r="D157" s="17" t="s">
        <v>1210</v>
      </c>
      <c r="E157" s="17" t="str" cm="1">
        <f t="array" ref="E15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57" s="17" t="s">
        <v>25</v>
      </c>
      <c r="G157" s="17" t="str" cm="1">
        <f t="array" ref="G15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57" s="17" t="s">
        <v>29</v>
      </c>
      <c r="I157" s="17" t="s">
        <v>231</v>
      </c>
      <c r="J157" s="17" t="s">
        <v>410</v>
      </c>
      <c r="K157" s="17" t="s">
        <v>16</v>
      </c>
      <c r="L157" s="17" t="s">
        <v>16</v>
      </c>
      <c r="M157" s="17" t="s">
        <v>16</v>
      </c>
      <c r="N157" s="17" t="s">
        <v>15</v>
      </c>
      <c r="O157" s="17" t="s">
        <v>891</v>
      </c>
      <c r="P157" s="17"/>
      <c r="Q157" s="17"/>
      <c r="R157" s="17" t="s">
        <v>892</v>
      </c>
      <c r="S157" s="17" t="s">
        <v>892</v>
      </c>
      <c r="T157" s="17" t="s">
        <v>892</v>
      </c>
      <c r="U157" s="17" t="s">
        <v>892</v>
      </c>
      <c r="V157" s="17"/>
      <c r="W157" s="17" t="s">
        <v>854</v>
      </c>
      <c r="X157" s="17"/>
      <c r="Y157" s="17"/>
      <c r="Z157" s="17"/>
      <c r="AA157" s="17"/>
      <c r="AB157" s="17"/>
      <c r="AC157" s="17"/>
      <c r="AD157" s="17"/>
      <c r="AE157" s="17"/>
      <c r="AF157" s="17"/>
      <c r="AG157" s="17"/>
      <c r="AH157" s="17" t="s">
        <v>905</v>
      </c>
    </row>
    <row r="158" spans="1:34" ht="35.25" hidden="1" customHeight="1">
      <c r="A158" s="53" t="s">
        <v>1224</v>
      </c>
      <c r="B158" s="21" t="s">
        <v>1225</v>
      </c>
      <c r="C158" s="17" t="s">
        <v>787</v>
      </c>
      <c r="D158" s="17" t="s">
        <v>1210</v>
      </c>
      <c r="E158" s="17" t="str" cm="1">
        <f t="array" ref="E15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58" s="17" t="s">
        <v>35</v>
      </c>
      <c r="G158" s="17" t="str" cm="1">
        <f t="array" ref="G15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58" s="17" t="s">
        <v>33</v>
      </c>
      <c r="I158" s="17" t="s">
        <v>231</v>
      </c>
      <c r="J158" s="17" t="s">
        <v>410</v>
      </c>
      <c r="K158" s="17" t="s">
        <v>16</v>
      </c>
      <c r="L158" s="17" t="s">
        <v>16</v>
      </c>
      <c r="M158" s="17" t="s">
        <v>16</v>
      </c>
      <c r="N158" s="17" t="s">
        <v>15</v>
      </c>
      <c r="O158" s="17" t="s">
        <v>891</v>
      </c>
      <c r="P158" s="17"/>
      <c r="Q158" s="17"/>
      <c r="R158" s="17" t="s">
        <v>892</v>
      </c>
      <c r="S158" s="17" t="s">
        <v>892</v>
      </c>
      <c r="T158" s="17" t="s">
        <v>892</v>
      </c>
      <c r="U158" s="17" t="s">
        <v>892</v>
      </c>
      <c r="V158" s="17"/>
      <c r="W158" s="17" t="s">
        <v>854</v>
      </c>
      <c r="X158" s="17"/>
      <c r="Y158" s="17"/>
      <c r="Z158" s="17"/>
      <c r="AA158" s="17"/>
      <c r="AB158" s="17"/>
      <c r="AC158" s="17"/>
      <c r="AD158" s="17"/>
      <c r="AE158" s="17"/>
      <c r="AF158" s="17"/>
      <c r="AG158" s="17"/>
      <c r="AH158" s="17" t="s">
        <v>905</v>
      </c>
    </row>
    <row r="159" spans="1:34" ht="35.25" hidden="1" customHeight="1">
      <c r="A159" s="53" t="s">
        <v>1226</v>
      </c>
      <c r="B159" s="21" t="s">
        <v>1227</v>
      </c>
      <c r="C159" s="17" t="s">
        <v>789</v>
      </c>
      <c r="D159" s="17" t="s">
        <v>1210</v>
      </c>
      <c r="E159" s="17" t="str" cm="1">
        <f t="array" ref="E15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Contenção</v>
      </c>
      <c r="F159" s="17" t="s">
        <v>20</v>
      </c>
      <c r="G159" s="17" t="str" cm="1">
        <f t="array" ref="G15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59" s="17" t="s">
        <v>375</v>
      </c>
      <c r="I159" s="17" t="s">
        <v>231</v>
      </c>
      <c r="J159" s="17" t="s">
        <v>410</v>
      </c>
      <c r="K159" s="17" t="s">
        <v>16</v>
      </c>
      <c r="L159" s="17" t="s">
        <v>16</v>
      </c>
      <c r="M159" s="17" t="s">
        <v>16</v>
      </c>
      <c r="N159" s="17" t="s">
        <v>15</v>
      </c>
      <c r="O159" s="17" t="s">
        <v>891</v>
      </c>
      <c r="P159" s="17"/>
      <c r="Q159" s="17"/>
      <c r="R159" s="17" t="s">
        <v>892</v>
      </c>
      <c r="S159" s="17" t="s">
        <v>892</v>
      </c>
      <c r="T159" s="17" t="s">
        <v>892</v>
      </c>
      <c r="U159" s="17" t="s">
        <v>892</v>
      </c>
      <c r="V159" s="17"/>
      <c r="W159" s="17" t="s">
        <v>987</v>
      </c>
      <c r="X159" s="17"/>
      <c r="Y159" s="17"/>
      <c r="Z159" s="17"/>
      <c r="AA159" s="17"/>
      <c r="AB159" s="17"/>
      <c r="AC159" s="17"/>
      <c r="AD159" s="17"/>
      <c r="AE159" s="17"/>
      <c r="AF159" s="17"/>
      <c r="AG159" s="17"/>
      <c r="AH159" s="17" t="s">
        <v>905</v>
      </c>
    </row>
    <row r="160" spans="1:34" ht="35.25" customHeight="1">
      <c r="A160" s="53" t="s">
        <v>1228</v>
      </c>
      <c r="B160" s="21" t="s">
        <v>1229</v>
      </c>
      <c r="C160" s="17" t="s">
        <v>790</v>
      </c>
      <c r="D160" s="17" t="s">
        <v>1230</v>
      </c>
      <c r="E160" s="17" t="str" cm="1">
        <f t="array" ref="E16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60" s="17" t="s">
        <v>102</v>
      </c>
      <c r="G160" s="17" t="str" cm="1">
        <f t="array" ref="G16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60" s="17" t="s">
        <v>271</v>
      </c>
      <c r="I160" s="17" t="s">
        <v>409</v>
      </c>
      <c r="J160" s="17" t="s">
        <v>413</v>
      </c>
      <c r="K160" s="17" t="s">
        <v>16</v>
      </c>
      <c r="L160" s="17" t="s">
        <v>16</v>
      </c>
      <c r="M160" s="17" t="s">
        <v>16</v>
      </c>
      <c r="N160" s="17" t="s">
        <v>16</v>
      </c>
      <c r="O160" s="17" t="s">
        <v>913</v>
      </c>
      <c r="P160" s="17"/>
      <c r="Q160" s="17"/>
      <c r="R160" s="17" t="s">
        <v>892</v>
      </c>
      <c r="S160" s="17" t="s">
        <v>892</v>
      </c>
      <c r="T160" s="17" t="s">
        <v>892</v>
      </c>
      <c r="U160" s="17" t="s">
        <v>892</v>
      </c>
      <c r="V160" s="17"/>
      <c r="W160" s="17" t="s">
        <v>856</v>
      </c>
      <c r="X160" s="17"/>
      <c r="Y160" s="17"/>
      <c r="Z160" s="17"/>
      <c r="AA160" s="17"/>
      <c r="AB160" s="17"/>
      <c r="AC160" s="17"/>
      <c r="AD160" s="17"/>
      <c r="AE160" s="17"/>
      <c r="AF160" s="17"/>
      <c r="AG160" s="17"/>
      <c r="AH160" s="17" t="s">
        <v>905</v>
      </c>
    </row>
    <row r="161" spans="1:34" ht="35.25" customHeight="1">
      <c r="A161" s="53" t="s">
        <v>1231</v>
      </c>
      <c r="B161" s="21" t="s">
        <v>1232</v>
      </c>
      <c r="C161" s="17" t="s">
        <v>791</v>
      </c>
      <c r="D161" s="17" t="s">
        <v>1230</v>
      </c>
      <c r="E161" s="17" t="str" cm="1">
        <f t="array" ref="E16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61" s="17" t="s">
        <v>102</v>
      </c>
      <c r="G161" s="17" t="str" cm="1">
        <f t="array" ref="G16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61" s="17" t="s">
        <v>271</v>
      </c>
      <c r="I161" s="17" t="s">
        <v>409</v>
      </c>
      <c r="J161" s="17" t="s">
        <v>413</v>
      </c>
      <c r="K161" s="17" t="s">
        <v>16</v>
      </c>
      <c r="L161" s="17" t="s">
        <v>16</v>
      </c>
      <c r="M161" s="17" t="s">
        <v>16</v>
      </c>
      <c r="N161" s="17" t="s">
        <v>16</v>
      </c>
      <c r="O161" s="17" t="s">
        <v>913</v>
      </c>
      <c r="P161" s="17"/>
      <c r="Q161" s="17"/>
      <c r="R161" s="17" t="s">
        <v>892</v>
      </c>
      <c r="S161" s="17" t="s">
        <v>892</v>
      </c>
      <c r="T161" s="17" t="s">
        <v>892</v>
      </c>
      <c r="U161" s="17" t="s">
        <v>892</v>
      </c>
      <c r="V161" s="17"/>
      <c r="W161" s="17" t="s">
        <v>856</v>
      </c>
      <c r="X161" s="17"/>
      <c r="Y161" s="17"/>
      <c r="Z161" s="17"/>
      <c r="AA161" s="17"/>
      <c r="AB161" s="17"/>
      <c r="AC161" s="17"/>
      <c r="AD161" s="17"/>
      <c r="AE161" s="17"/>
      <c r="AF161" s="17"/>
      <c r="AG161" s="17"/>
      <c r="AH161" s="17" t="s">
        <v>905</v>
      </c>
    </row>
    <row r="162" spans="1:34" ht="35.25" customHeight="1">
      <c r="A162" s="53" t="s">
        <v>1233</v>
      </c>
      <c r="B162" s="21" t="s">
        <v>1234</v>
      </c>
      <c r="C162" s="17" t="s">
        <v>792</v>
      </c>
      <c r="D162" s="17" t="s">
        <v>1230</v>
      </c>
      <c r="E162" s="17" t="str" cm="1">
        <f t="array" ref="E16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62" s="17" t="s">
        <v>102</v>
      </c>
      <c r="G162" s="17" t="str" cm="1">
        <f t="array" ref="G16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62" s="17" t="s">
        <v>271</v>
      </c>
      <c r="I162" s="17" t="s">
        <v>409</v>
      </c>
      <c r="J162" s="17" t="s">
        <v>413</v>
      </c>
      <c r="K162" s="17" t="s">
        <v>16</v>
      </c>
      <c r="L162" s="17" t="s">
        <v>16</v>
      </c>
      <c r="M162" s="17" t="s">
        <v>16</v>
      </c>
      <c r="N162" s="17" t="s">
        <v>16</v>
      </c>
      <c r="O162" s="17" t="s">
        <v>913</v>
      </c>
      <c r="P162" s="17"/>
      <c r="Q162" s="17"/>
      <c r="R162" s="17" t="s">
        <v>892</v>
      </c>
      <c r="S162" s="17" t="s">
        <v>892</v>
      </c>
      <c r="T162" s="17" t="s">
        <v>892</v>
      </c>
      <c r="U162" s="17" t="s">
        <v>892</v>
      </c>
      <c r="V162" s="17"/>
      <c r="W162" s="17" t="s">
        <v>856</v>
      </c>
      <c r="X162" s="17"/>
      <c r="Y162" s="17"/>
      <c r="Z162" s="17"/>
      <c r="AA162" s="17"/>
      <c r="AB162" s="17"/>
      <c r="AC162" s="17"/>
      <c r="AD162" s="17"/>
      <c r="AE162" s="17"/>
      <c r="AF162" s="17"/>
      <c r="AG162" s="17"/>
      <c r="AH162" s="17" t="s">
        <v>905</v>
      </c>
    </row>
    <row r="163" spans="1:34" ht="35.25" customHeight="1">
      <c r="A163" s="53" t="s">
        <v>1235</v>
      </c>
      <c r="B163" s="21" t="s">
        <v>1236</v>
      </c>
      <c r="C163" s="17" t="s">
        <v>793</v>
      </c>
      <c r="D163" s="17" t="s">
        <v>1230</v>
      </c>
      <c r="E163" s="17" t="str" cm="1">
        <f t="array" ref="E16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63" s="17" t="s">
        <v>25</v>
      </c>
      <c r="G163" s="17" t="str" cm="1">
        <f t="array" ref="G16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63" s="17" t="s">
        <v>259</v>
      </c>
      <c r="I163" s="17" t="s">
        <v>409</v>
      </c>
      <c r="J163" s="17" t="s">
        <v>232</v>
      </c>
      <c r="K163" s="17" t="s">
        <v>16</v>
      </c>
      <c r="L163" s="17" t="s">
        <v>16</v>
      </c>
      <c r="M163" s="17" t="s">
        <v>16</v>
      </c>
      <c r="N163" s="17" t="s">
        <v>16</v>
      </c>
      <c r="O163" s="17" t="s">
        <v>891</v>
      </c>
      <c r="P163" s="17"/>
      <c r="Q163" s="17"/>
      <c r="R163" s="17" t="s">
        <v>892</v>
      </c>
      <c r="S163" s="17" t="s">
        <v>892</v>
      </c>
      <c r="T163" s="17" t="s">
        <v>892</v>
      </c>
      <c r="U163" s="17" t="s">
        <v>892</v>
      </c>
      <c r="V163" s="17"/>
      <c r="W163" s="17" t="s">
        <v>854</v>
      </c>
      <c r="X163" s="17"/>
      <c r="Y163" s="17"/>
      <c r="Z163" s="17"/>
      <c r="AA163" s="17"/>
      <c r="AB163" s="17"/>
      <c r="AC163" s="17"/>
      <c r="AD163" s="17"/>
      <c r="AE163" s="17"/>
      <c r="AF163" s="17"/>
      <c r="AG163" s="17"/>
      <c r="AH163" s="17" t="s">
        <v>905</v>
      </c>
    </row>
    <row r="164" spans="1:34" ht="35.25" customHeight="1">
      <c r="A164" s="53" t="s">
        <v>1237</v>
      </c>
      <c r="B164" s="21" t="s">
        <v>510</v>
      </c>
      <c r="C164" s="17" t="s">
        <v>795</v>
      </c>
      <c r="D164" s="17" t="s">
        <v>1230</v>
      </c>
      <c r="E164" s="17" t="str" cm="1">
        <f t="array" ref="E16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64" s="17" t="s">
        <v>67</v>
      </c>
      <c r="G164" s="17" t="str" cm="1">
        <f t="array" ref="G16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64" s="17" t="s">
        <v>23</v>
      </c>
      <c r="I164" s="17" t="s">
        <v>409</v>
      </c>
      <c r="J164" s="17" t="s">
        <v>232</v>
      </c>
      <c r="K164" s="17" t="s">
        <v>16</v>
      </c>
      <c r="L164" s="17" t="s">
        <v>16</v>
      </c>
      <c r="M164" s="17" t="s">
        <v>16</v>
      </c>
      <c r="N164" s="17" t="s">
        <v>16</v>
      </c>
      <c r="O164" s="17" t="s">
        <v>891</v>
      </c>
      <c r="P164" s="17"/>
      <c r="Q164" s="17"/>
      <c r="R164" s="17" t="s">
        <v>892</v>
      </c>
      <c r="S164" s="17" t="s">
        <v>892</v>
      </c>
      <c r="T164" s="17" t="s">
        <v>892</v>
      </c>
      <c r="U164" s="17" t="s">
        <v>892</v>
      </c>
      <c r="V164" s="17"/>
      <c r="W164" s="17" t="s">
        <v>854</v>
      </c>
      <c r="X164" s="17"/>
      <c r="Y164" s="17"/>
      <c r="Z164" s="17"/>
      <c r="AA164" s="17"/>
      <c r="AB164" s="17"/>
      <c r="AC164" s="17"/>
      <c r="AD164" s="17"/>
      <c r="AE164" s="17"/>
      <c r="AF164" s="17"/>
      <c r="AG164" s="17"/>
      <c r="AH164" s="17" t="s">
        <v>905</v>
      </c>
    </row>
    <row r="165" spans="1:34" ht="35.25" customHeight="1">
      <c r="A165" s="53" t="s">
        <v>1238</v>
      </c>
      <c r="B165" s="21" t="s">
        <v>1239</v>
      </c>
      <c r="C165" s="17" t="s">
        <v>797</v>
      </c>
      <c r="D165" s="17" t="s">
        <v>1230</v>
      </c>
      <c r="E165" s="17" t="str" cm="1">
        <f t="array" ref="E16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65" s="17" t="s">
        <v>102</v>
      </c>
      <c r="G165" s="17" t="str" cm="1">
        <f t="array" ref="G16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65" s="17" t="s">
        <v>271</v>
      </c>
      <c r="I165" s="17" t="s">
        <v>409</v>
      </c>
      <c r="J165" s="17" t="s">
        <v>413</v>
      </c>
      <c r="K165" s="17" t="s">
        <v>16</v>
      </c>
      <c r="L165" s="17" t="s">
        <v>16</v>
      </c>
      <c r="M165" s="17" t="s">
        <v>16</v>
      </c>
      <c r="N165" s="17" t="s">
        <v>16</v>
      </c>
      <c r="O165" s="17" t="s">
        <v>891</v>
      </c>
      <c r="P165" s="17"/>
      <c r="Q165" s="17"/>
      <c r="R165" s="17" t="s">
        <v>892</v>
      </c>
      <c r="S165" s="17" t="s">
        <v>892</v>
      </c>
      <c r="T165" s="17" t="s">
        <v>892</v>
      </c>
      <c r="U165" s="17" t="s">
        <v>892</v>
      </c>
      <c r="V165" s="17"/>
      <c r="W165" s="17" t="s">
        <v>856</v>
      </c>
      <c r="X165" s="17"/>
      <c r="Y165" s="17"/>
      <c r="Z165" s="17"/>
      <c r="AA165" s="17"/>
      <c r="AB165" s="17"/>
      <c r="AC165" s="17"/>
      <c r="AD165" s="17"/>
      <c r="AE165" s="17"/>
      <c r="AF165" s="17"/>
      <c r="AG165" s="17"/>
      <c r="AH165" s="17" t="s">
        <v>934</v>
      </c>
    </row>
    <row r="166" spans="1:34" ht="35.25" customHeight="1">
      <c r="A166" s="53" t="s">
        <v>1240</v>
      </c>
      <c r="B166" s="21" t="s">
        <v>1241</v>
      </c>
      <c r="C166" s="17" t="s">
        <v>798</v>
      </c>
      <c r="D166" s="17" t="s">
        <v>1230</v>
      </c>
      <c r="E166" s="17" t="str" cm="1">
        <f t="array" ref="E16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66" s="17" t="s">
        <v>102</v>
      </c>
      <c r="G166" s="17" t="str" cm="1">
        <f t="array" ref="G16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66" s="17" t="s">
        <v>271</v>
      </c>
      <c r="I166" s="17" t="s">
        <v>409</v>
      </c>
      <c r="J166" s="17" t="s">
        <v>413</v>
      </c>
      <c r="K166" s="17" t="s">
        <v>16</v>
      </c>
      <c r="L166" s="17" t="s">
        <v>16</v>
      </c>
      <c r="M166" s="17" t="s">
        <v>16</v>
      </c>
      <c r="N166" s="17" t="s">
        <v>16</v>
      </c>
      <c r="O166" s="17" t="s">
        <v>892</v>
      </c>
      <c r="P166" s="17" t="s">
        <v>892</v>
      </c>
      <c r="Q166" s="17"/>
      <c r="R166" s="17" t="s">
        <v>892</v>
      </c>
      <c r="S166" s="17" t="s">
        <v>892</v>
      </c>
      <c r="T166" s="17" t="s">
        <v>892</v>
      </c>
      <c r="U166" s="17" t="s">
        <v>892</v>
      </c>
      <c r="V166" s="17"/>
      <c r="W166" s="17" t="s">
        <v>856</v>
      </c>
      <c r="X166" s="17"/>
      <c r="Y166" s="17"/>
      <c r="Z166" s="17"/>
      <c r="AA166" s="17"/>
      <c r="AB166" s="17"/>
      <c r="AC166" s="17"/>
      <c r="AD166" s="17"/>
      <c r="AE166" s="17"/>
      <c r="AF166" s="17"/>
      <c r="AG166" s="17"/>
      <c r="AH166" s="17" t="s">
        <v>988</v>
      </c>
    </row>
    <row r="167" spans="1:34" ht="35.25" customHeight="1">
      <c r="A167" s="53" t="s">
        <v>1242</v>
      </c>
      <c r="B167" s="21" t="s">
        <v>337</v>
      </c>
      <c r="C167" s="17" t="s">
        <v>801</v>
      </c>
      <c r="D167" s="17" t="s">
        <v>55</v>
      </c>
      <c r="E167" s="17" t="str" cm="1">
        <f t="array" ref="E16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67" s="17" t="s">
        <v>25</v>
      </c>
      <c r="G167" s="17" t="str" cm="1">
        <f t="array" ref="G16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67" s="17" t="s">
        <v>26</v>
      </c>
      <c r="I167" s="17" t="s">
        <v>425</v>
      </c>
      <c r="J167" s="17" t="s">
        <v>1178</v>
      </c>
      <c r="K167" s="17" t="s">
        <v>16</v>
      </c>
      <c r="L167" s="17" t="s">
        <v>16</v>
      </c>
      <c r="M167" s="17" t="s">
        <v>16</v>
      </c>
      <c r="N167" s="17" t="s">
        <v>16</v>
      </c>
      <c r="O167" s="17" t="s">
        <v>891</v>
      </c>
      <c r="P167" s="17" t="s">
        <v>892</v>
      </c>
      <c r="Q167" s="17"/>
      <c r="R167" s="17" t="s">
        <v>892</v>
      </c>
      <c r="S167" s="17" t="s">
        <v>892</v>
      </c>
      <c r="T167" s="17" t="s">
        <v>892</v>
      </c>
      <c r="U167" s="17" t="s">
        <v>892</v>
      </c>
      <c r="V167" s="17"/>
      <c r="W167" s="17" t="s">
        <v>978</v>
      </c>
      <c r="X167" s="17"/>
      <c r="Y167" s="17"/>
      <c r="Z167" s="17"/>
      <c r="AA167" s="17"/>
      <c r="AB167" s="17"/>
      <c r="AC167" s="17"/>
      <c r="AD167" s="17"/>
      <c r="AE167" s="17"/>
      <c r="AF167" s="17"/>
      <c r="AG167" s="17"/>
      <c r="AH167" s="17" t="s">
        <v>905</v>
      </c>
    </row>
    <row r="168" spans="1:34" ht="35.25" hidden="1" customHeight="1">
      <c r="A168" s="53" t="s">
        <v>1243</v>
      </c>
      <c r="B168" s="21" t="s">
        <v>1244</v>
      </c>
      <c r="C168" s="17" t="s">
        <v>803</v>
      </c>
      <c r="D168" s="17" t="s">
        <v>55</v>
      </c>
      <c r="E168" s="17" t="str" cm="1">
        <f t="array" ref="E16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68" s="17" t="s">
        <v>102</v>
      </c>
      <c r="G168" s="17" t="str" cm="1">
        <f t="array" ref="G16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68" s="17" t="s">
        <v>271</v>
      </c>
      <c r="I168" s="17" t="s">
        <v>231</v>
      </c>
      <c r="J168" s="17" t="s">
        <v>1245</v>
      </c>
      <c r="K168" s="17" t="s">
        <v>16</v>
      </c>
      <c r="L168" s="17" t="s">
        <v>16</v>
      </c>
      <c r="M168" s="17" t="s">
        <v>15</v>
      </c>
      <c r="N168" s="17" t="s">
        <v>15</v>
      </c>
      <c r="O168" s="17" t="s">
        <v>892</v>
      </c>
      <c r="P168" s="17" t="s">
        <v>892</v>
      </c>
      <c r="Q168" s="17"/>
      <c r="R168" s="17" t="s">
        <v>891</v>
      </c>
      <c r="S168" s="17" t="s">
        <v>891</v>
      </c>
      <c r="T168" s="17" t="s">
        <v>891</v>
      </c>
      <c r="U168" s="17" t="s">
        <v>891</v>
      </c>
      <c r="V168" s="17"/>
      <c r="W168" s="17" t="s">
        <v>856</v>
      </c>
      <c r="X168" s="17"/>
      <c r="Y168" s="17"/>
      <c r="Z168" s="17"/>
      <c r="AA168" s="17"/>
      <c r="AB168" s="17"/>
      <c r="AC168" s="17"/>
      <c r="AD168" s="17"/>
      <c r="AE168" s="17"/>
      <c r="AF168" s="17"/>
      <c r="AG168" s="17"/>
      <c r="AH168" s="17" t="s">
        <v>934</v>
      </c>
    </row>
    <row r="169" spans="1:34" ht="35.25" hidden="1" customHeight="1">
      <c r="A169" s="53" t="s">
        <v>1246</v>
      </c>
      <c r="B169" s="21" t="s">
        <v>804</v>
      </c>
      <c r="C169" s="17" t="s">
        <v>805</v>
      </c>
      <c r="D169" s="17" t="s">
        <v>55</v>
      </c>
      <c r="E169" s="17" t="str" cm="1">
        <f t="array" ref="E16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69" s="17" t="s">
        <v>35</v>
      </c>
      <c r="G169" s="17" t="str" cm="1">
        <f t="array" ref="G16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69" s="17" t="s">
        <v>29</v>
      </c>
      <c r="I169" s="17" t="s">
        <v>231</v>
      </c>
      <c r="J169" s="17" t="s">
        <v>1178</v>
      </c>
      <c r="K169" s="17" t="s">
        <v>16</v>
      </c>
      <c r="L169" s="17" t="s">
        <v>16</v>
      </c>
      <c r="M169" s="17" t="s">
        <v>15</v>
      </c>
      <c r="N169" s="17" t="s">
        <v>15</v>
      </c>
      <c r="O169" s="17" t="s">
        <v>913</v>
      </c>
      <c r="P169" s="17" t="s">
        <v>892</v>
      </c>
      <c r="Q169" s="17"/>
      <c r="R169" s="17" t="s">
        <v>891</v>
      </c>
      <c r="S169" s="17" t="s">
        <v>891</v>
      </c>
      <c r="T169" s="17" t="s">
        <v>891</v>
      </c>
      <c r="U169" s="17" t="s">
        <v>891</v>
      </c>
      <c r="V169" s="17"/>
      <c r="W169" s="17" t="s">
        <v>952</v>
      </c>
      <c r="X169" s="17"/>
      <c r="Y169" s="17"/>
      <c r="Z169" s="17"/>
      <c r="AA169" s="17"/>
      <c r="AB169" s="17"/>
      <c r="AC169" s="17"/>
      <c r="AD169" s="17"/>
      <c r="AE169" s="17"/>
      <c r="AF169" s="17"/>
      <c r="AG169" s="17"/>
      <c r="AH169" s="17" t="s">
        <v>968</v>
      </c>
    </row>
    <row r="170" spans="1:34" ht="35.25" hidden="1" customHeight="1">
      <c r="A170" s="53" t="s">
        <v>1247</v>
      </c>
      <c r="B170" s="21" t="s">
        <v>72</v>
      </c>
      <c r="C170" s="17" t="s">
        <v>806</v>
      </c>
      <c r="D170" s="17" t="s">
        <v>55</v>
      </c>
      <c r="E170" s="17" t="str" cm="1">
        <f t="array" ref="E17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70" s="17" t="s">
        <v>32</v>
      </c>
      <c r="G170" s="17" t="str" cm="1">
        <f t="array" ref="G17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70" s="17" t="s">
        <v>33</v>
      </c>
      <c r="I170" s="17" t="s">
        <v>231</v>
      </c>
      <c r="J170" s="17" t="s">
        <v>1178</v>
      </c>
      <c r="K170" s="17" t="s">
        <v>16</v>
      </c>
      <c r="L170" s="17" t="s">
        <v>16</v>
      </c>
      <c r="M170" s="17" t="s">
        <v>15</v>
      </c>
      <c r="N170" s="17" t="s">
        <v>15</v>
      </c>
      <c r="O170" s="17" t="s">
        <v>913</v>
      </c>
      <c r="P170" s="17" t="s">
        <v>892</v>
      </c>
      <c r="Q170" s="17"/>
      <c r="R170" s="17" t="s">
        <v>892</v>
      </c>
      <c r="S170" s="17" t="s">
        <v>892</v>
      </c>
      <c r="T170" s="17" t="s">
        <v>892</v>
      </c>
      <c r="U170" s="17" t="s">
        <v>892</v>
      </c>
      <c r="V170" s="17"/>
      <c r="W170" s="17" t="s">
        <v>987</v>
      </c>
      <c r="X170" s="17"/>
      <c r="Y170" s="17"/>
      <c r="Z170" s="17"/>
      <c r="AA170" s="17"/>
      <c r="AB170" s="17"/>
      <c r="AC170" s="17"/>
      <c r="AD170" s="17"/>
      <c r="AE170" s="17"/>
      <c r="AF170" s="17"/>
      <c r="AG170" s="17"/>
      <c r="AH170" s="17" t="s">
        <v>988</v>
      </c>
    </row>
    <row r="171" spans="1:34" ht="35.25" hidden="1" customHeight="1">
      <c r="A171" s="53" t="s">
        <v>1248</v>
      </c>
      <c r="B171" s="25" t="s">
        <v>1249</v>
      </c>
      <c r="C171" s="17" t="s">
        <v>808</v>
      </c>
      <c r="D171" s="17" t="s">
        <v>55</v>
      </c>
      <c r="E171" s="26" t="str" cm="1">
        <f t="array" ref="E17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71" s="26" t="s">
        <v>102</v>
      </c>
      <c r="G171" s="26" t="str" cm="1">
        <f t="array" ref="G17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71" s="26" t="s">
        <v>23</v>
      </c>
      <c r="I171" s="17" t="s">
        <v>231</v>
      </c>
      <c r="J171" s="17" t="s">
        <v>1178</v>
      </c>
      <c r="K171" s="17" t="s">
        <v>16</v>
      </c>
      <c r="L171" s="17" t="s">
        <v>16</v>
      </c>
      <c r="M171" s="17" t="s">
        <v>15</v>
      </c>
      <c r="N171" s="17" t="s">
        <v>15</v>
      </c>
      <c r="O171" s="26" t="s">
        <v>892</v>
      </c>
      <c r="P171" s="26" t="s">
        <v>891</v>
      </c>
      <c r="Q171" s="26"/>
      <c r="R171" s="26" t="s">
        <v>892</v>
      </c>
      <c r="S171" s="26" t="s">
        <v>892</v>
      </c>
      <c r="T171" s="26" t="s">
        <v>892</v>
      </c>
      <c r="U171" s="26" t="s">
        <v>892</v>
      </c>
      <c r="V171" s="26"/>
      <c r="W171" s="26" t="s">
        <v>856</v>
      </c>
      <c r="X171" s="26"/>
      <c r="Y171" s="26"/>
      <c r="Z171" s="26"/>
      <c r="AA171" s="26"/>
      <c r="AB171" s="26"/>
      <c r="AC171" s="26"/>
      <c r="AD171" s="26"/>
      <c r="AE171" s="26"/>
      <c r="AF171" s="26"/>
      <c r="AG171" s="17"/>
      <c r="AH171" s="17" t="s">
        <v>905</v>
      </c>
    </row>
    <row r="172" spans="1:34" ht="35.25" hidden="1" customHeight="1">
      <c r="A172" s="53" t="s">
        <v>1250</v>
      </c>
      <c r="B172" s="25" t="s">
        <v>1251</v>
      </c>
      <c r="C172" s="17" t="s">
        <v>810</v>
      </c>
      <c r="D172" s="17" t="s">
        <v>55</v>
      </c>
      <c r="E172" s="26" t="str" cm="1">
        <f t="array" ref="E17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Contenção</v>
      </c>
      <c r="F172" s="26" t="s">
        <v>20</v>
      </c>
      <c r="G172" s="26" t="str" cm="1">
        <f t="array" ref="G17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72" s="26" t="s">
        <v>14</v>
      </c>
      <c r="I172" s="17" t="s">
        <v>231</v>
      </c>
      <c r="J172" s="17" t="s">
        <v>1178</v>
      </c>
      <c r="K172" s="17" t="s">
        <v>16</v>
      </c>
      <c r="L172" s="17" t="s">
        <v>16</v>
      </c>
      <c r="M172" s="17" t="s">
        <v>15</v>
      </c>
      <c r="N172" s="17" t="s">
        <v>15</v>
      </c>
      <c r="O172" s="26" t="s">
        <v>892</v>
      </c>
      <c r="P172" s="26" t="s">
        <v>892</v>
      </c>
      <c r="Q172" s="26"/>
      <c r="R172" s="26" t="s">
        <v>892</v>
      </c>
      <c r="S172" s="26" t="s">
        <v>892</v>
      </c>
      <c r="T172" s="26" t="s">
        <v>892</v>
      </c>
      <c r="U172" s="26" t="s">
        <v>892</v>
      </c>
      <c r="V172" s="26"/>
      <c r="W172" s="26" t="s">
        <v>854</v>
      </c>
      <c r="X172" s="26"/>
      <c r="Y172" s="26"/>
      <c r="Z172" s="26"/>
      <c r="AA172" s="26"/>
      <c r="AB172" s="26"/>
      <c r="AC172" s="26"/>
      <c r="AD172" s="26"/>
      <c r="AE172" s="26"/>
      <c r="AF172" s="26"/>
      <c r="AG172" s="17"/>
      <c r="AH172" s="17" t="s">
        <v>905</v>
      </c>
    </row>
    <row r="173" spans="1:34" ht="35.25" hidden="1" customHeight="1">
      <c r="A173" s="53" t="s">
        <v>1252</v>
      </c>
      <c r="B173" s="21" t="s">
        <v>92</v>
      </c>
      <c r="C173" s="17" t="s">
        <v>812</v>
      </c>
      <c r="D173" s="17" t="s">
        <v>55</v>
      </c>
      <c r="E173" s="17" t="str" cm="1">
        <f t="array" ref="E17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73" s="17" t="s">
        <v>102</v>
      </c>
      <c r="G173" s="17" t="str" cm="1">
        <f t="array" ref="G17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73" s="17" t="s">
        <v>320</v>
      </c>
      <c r="I173" s="17" t="s">
        <v>231</v>
      </c>
      <c r="J173" s="17" t="s">
        <v>1178</v>
      </c>
      <c r="K173" s="17" t="s">
        <v>16</v>
      </c>
      <c r="L173" s="17" t="s">
        <v>16</v>
      </c>
      <c r="M173" s="17" t="s">
        <v>15</v>
      </c>
      <c r="N173" s="17" t="s">
        <v>15</v>
      </c>
      <c r="O173" s="17" t="s">
        <v>892</v>
      </c>
      <c r="P173" s="17" t="s">
        <v>892</v>
      </c>
      <c r="Q173" s="17"/>
      <c r="R173" s="17" t="s">
        <v>892</v>
      </c>
      <c r="S173" s="17" t="s">
        <v>892</v>
      </c>
      <c r="T173" s="17" t="s">
        <v>892</v>
      </c>
      <c r="U173" s="17" t="s">
        <v>892</v>
      </c>
      <c r="V173" s="17"/>
      <c r="W173" s="17" t="s">
        <v>966</v>
      </c>
      <c r="X173" s="17"/>
      <c r="Y173" s="17"/>
      <c r="Z173" s="17"/>
      <c r="AA173" s="17"/>
      <c r="AB173" s="17"/>
      <c r="AC173" s="17"/>
      <c r="AD173" s="17"/>
      <c r="AE173" s="17"/>
      <c r="AF173" s="17"/>
      <c r="AG173" s="17"/>
      <c r="AH173" s="17" t="s">
        <v>905</v>
      </c>
    </row>
    <row r="174" spans="1:34" ht="35.25" hidden="1" customHeight="1">
      <c r="A174" s="53" t="s">
        <v>1253</v>
      </c>
      <c r="B174" s="25" t="s">
        <v>1254</v>
      </c>
      <c r="C174" s="17" t="s">
        <v>814</v>
      </c>
      <c r="D174" s="17" t="s">
        <v>55</v>
      </c>
      <c r="E174" s="26" t="str" cm="1">
        <f t="array" ref="E17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174" s="26" t="s">
        <v>22</v>
      </c>
      <c r="G174" s="26" t="str" cm="1">
        <f t="array" ref="G17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174" s="17" t="s">
        <v>23</v>
      </c>
      <c r="I174" s="26" t="s">
        <v>231</v>
      </c>
      <c r="J174" s="17" t="s">
        <v>1178</v>
      </c>
      <c r="K174" s="17" t="s">
        <v>16</v>
      </c>
      <c r="L174" s="17" t="s">
        <v>16</v>
      </c>
      <c r="M174" s="17" t="s">
        <v>15</v>
      </c>
      <c r="N174" s="17" t="s">
        <v>15</v>
      </c>
      <c r="O174" s="26" t="s">
        <v>913</v>
      </c>
      <c r="P174" s="26" t="s">
        <v>892</v>
      </c>
      <c r="Q174" s="26"/>
      <c r="R174" s="26" t="s">
        <v>892</v>
      </c>
      <c r="S174" s="26" t="s">
        <v>892</v>
      </c>
      <c r="T174" s="26" t="s">
        <v>892</v>
      </c>
      <c r="U174" s="26" t="s">
        <v>892</v>
      </c>
      <c r="V174" s="26"/>
      <c r="W174" s="26" t="s">
        <v>856</v>
      </c>
      <c r="X174" s="26"/>
      <c r="Y174" s="26"/>
      <c r="Z174" s="26"/>
      <c r="AA174" s="26"/>
      <c r="AB174" s="26"/>
      <c r="AC174" s="26"/>
      <c r="AD174" s="26"/>
      <c r="AE174" s="26"/>
      <c r="AF174" s="26"/>
      <c r="AG174" s="17"/>
      <c r="AH174" s="17" t="s">
        <v>905</v>
      </c>
    </row>
    <row r="175" spans="1:34" ht="35.25" hidden="1" customHeight="1">
      <c r="A175" s="53" t="s">
        <v>1255</v>
      </c>
      <c r="B175" s="25" t="s">
        <v>323</v>
      </c>
      <c r="C175" s="17" t="s">
        <v>816</v>
      </c>
      <c r="D175" s="17" t="s">
        <v>55</v>
      </c>
      <c r="E175" s="26" t="str" cm="1">
        <f t="array" ref="E17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75" s="26" t="s">
        <v>35</v>
      </c>
      <c r="G175" s="26" t="str" cm="1">
        <f t="array" ref="G17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75" s="26" t="s">
        <v>26</v>
      </c>
      <c r="I175" s="26" t="s">
        <v>231</v>
      </c>
      <c r="J175" s="26" t="s">
        <v>1178</v>
      </c>
      <c r="K175" s="17" t="s">
        <v>16</v>
      </c>
      <c r="L175" s="17" t="s">
        <v>16</v>
      </c>
      <c r="M175" s="17" t="s">
        <v>15</v>
      </c>
      <c r="N175" s="17" t="s">
        <v>15</v>
      </c>
      <c r="O175" s="26" t="s">
        <v>891</v>
      </c>
      <c r="P175" s="26" t="s">
        <v>891</v>
      </c>
      <c r="Q175" s="26"/>
      <c r="R175" s="26" t="s">
        <v>892</v>
      </c>
      <c r="S175" s="26" t="s">
        <v>892</v>
      </c>
      <c r="T175" s="26" t="s">
        <v>892</v>
      </c>
      <c r="U175" s="26" t="s">
        <v>892</v>
      </c>
      <c r="V175" s="26"/>
      <c r="W175" s="26" t="s">
        <v>978</v>
      </c>
      <c r="X175" s="26"/>
      <c r="Y175" s="26"/>
      <c r="Z175" s="26"/>
      <c r="AA175" s="26"/>
      <c r="AB175" s="26"/>
      <c r="AC175" s="26"/>
      <c r="AD175" s="26"/>
      <c r="AE175" s="26"/>
      <c r="AF175" s="26"/>
      <c r="AG175" s="17"/>
      <c r="AH175" s="17" t="s">
        <v>905</v>
      </c>
    </row>
    <row r="176" spans="1:34" ht="35.25" hidden="1" customHeight="1">
      <c r="A176" s="53" t="s">
        <v>1256</v>
      </c>
      <c r="B176" s="21" t="s">
        <v>817</v>
      </c>
      <c r="C176" s="17" t="s">
        <v>818</v>
      </c>
      <c r="D176" s="17" t="s">
        <v>55</v>
      </c>
      <c r="E176" s="17" t="str" cm="1">
        <f t="array" ref="E17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76" s="17" t="s">
        <v>35</v>
      </c>
      <c r="G176" s="17" t="str" cm="1">
        <f t="array" ref="G17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76" s="26" t="s">
        <v>259</v>
      </c>
      <c r="I176" s="26" t="s">
        <v>231</v>
      </c>
      <c r="J176" s="26" t="s">
        <v>1178</v>
      </c>
      <c r="K176" s="17" t="s">
        <v>16</v>
      </c>
      <c r="L176" s="17" t="s">
        <v>16</v>
      </c>
      <c r="M176" s="17" t="s">
        <v>15</v>
      </c>
      <c r="N176" s="17" t="s">
        <v>15</v>
      </c>
      <c r="O176" s="26" t="s">
        <v>891</v>
      </c>
      <c r="P176" s="17" t="s">
        <v>891</v>
      </c>
      <c r="Q176" s="17"/>
      <c r="R176" s="17" t="s">
        <v>892</v>
      </c>
      <c r="S176" s="17" t="s">
        <v>892</v>
      </c>
      <c r="T176" s="17" t="s">
        <v>892</v>
      </c>
      <c r="U176" s="17" t="s">
        <v>892</v>
      </c>
      <c r="V176" s="17"/>
      <c r="W176" s="17" t="s">
        <v>952</v>
      </c>
      <c r="X176" s="17"/>
      <c r="Y176" s="17"/>
      <c r="Z176" s="17"/>
      <c r="AA176" s="17"/>
      <c r="AB176" s="17"/>
      <c r="AC176" s="17"/>
      <c r="AD176" s="17"/>
      <c r="AE176" s="17"/>
      <c r="AF176" s="17"/>
      <c r="AG176" s="17"/>
      <c r="AH176" s="17" t="s">
        <v>905</v>
      </c>
    </row>
    <row r="177" spans="1:34" ht="35.25" hidden="1" customHeight="1">
      <c r="A177" s="53" t="s">
        <v>1257</v>
      </c>
      <c r="B177" s="25" t="s">
        <v>1258</v>
      </c>
      <c r="C177" s="17" t="s">
        <v>820</v>
      </c>
      <c r="D177" s="17" t="s">
        <v>55</v>
      </c>
      <c r="E177" s="26" t="str" cm="1">
        <f t="array" ref="E17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77" s="17" t="s">
        <v>25</v>
      </c>
      <c r="G177" s="26" t="str" cm="1">
        <f t="array" ref="G17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77" s="26" t="s">
        <v>244</v>
      </c>
      <c r="I177" s="26" t="s">
        <v>425</v>
      </c>
      <c r="J177" s="26" t="s">
        <v>1178</v>
      </c>
      <c r="K177" s="17" t="s">
        <v>16</v>
      </c>
      <c r="L177" s="17" t="s">
        <v>16</v>
      </c>
      <c r="M177" s="17" t="s">
        <v>16</v>
      </c>
      <c r="N177" s="17" t="s">
        <v>15</v>
      </c>
      <c r="O177" s="26" t="s">
        <v>891</v>
      </c>
      <c r="P177" s="26" t="s">
        <v>891</v>
      </c>
      <c r="Q177" s="26"/>
      <c r="R177" s="26" t="s">
        <v>892</v>
      </c>
      <c r="S177" s="26" t="s">
        <v>892</v>
      </c>
      <c r="T177" s="26" t="s">
        <v>892</v>
      </c>
      <c r="U177" s="26" t="s">
        <v>892</v>
      </c>
      <c r="V177" s="26"/>
      <c r="W177" s="26" t="s">
        <v>978</v>
      </c>
      <c r="X177" s="26"/>
      <c r="Y177" s="26"/>
      <c r="Z177" s="26"/>
      <c r="AA177" s="26"/>
      <c r="AB177" s="26"/>
      <c r="AC177" s="26"/>
      <c r="AD177" s="26"/>
      <c r="AE177" s="26"/>
      <c r="AF177" s="26"/>
      <c r="AG177" s="17"/>
      <c r="AH177" s="17" t="s">
        <v>905</v>
      </c>
    </row>
    <row r="178" spans="1:34" ht="35.25" hidden="1" customHeight="1">
      <c r="A178" s="53" t="s">
        <v>1259</v>
      </c>
      <c r="B178" s="25" t="s">
        <v>1260</v>
      </c>
      <c r="C178" s="17" t="s">
        <v>1261</v>
      </c>
      <c r="D178" s="17" t="s">
        <v>55</v>
      </c>
      <c r="E178" s="26" t="str" cm="1">
        <f t="array" ref="E17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178" s="26" t="s">
        <v>22</v>
      </c>
      <c r="G178" s="26" t="str" cm="1">
        <f t="array" ref="G17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178" s="26" t="s">
        <v>26</v>
      </c>
      <c r="I178" s="26" t="s">
        <v>425</v>
      </c>
      <c r="J178" s="26" t="s">
        <v>1178</v>
      </c>
      <c r="K178" s="17" t="s">
        <v>16</v>
      </c>
      <c r="L178" s="17" t="s">
        <v>16</v>
      </c>
      <c r="M178" s="17" t="s">
        <v>16</v>
      </c>
      <c r="N178" s="17" t="s">
        <v>15</v>
      </c>
      <c r="O178" s="26" t="s">
        <v>891</v>
      </c>
      <c r="P178" s="26" t="s">
        <v>891</v>
      </c>
      <c r="Q178" s="26"/>
      <c r="R178" s="26" t="s">
        <v>892</v>
      </c>
      <c r="S178" s="26" t="s">
        <v>892</v>
      </c>
      <c r="T178" s="26" t="s">
        <v>892</v>
      </c>
      <c r="U178" s="26" t="s">
        <v>892</v>
      </c>
      <c r="V178" s="26"/>
      <c r="W178" s="26" t="s">
        <v>978</v>
      </c>
      <c r="X178" s="26"/>
      <c r="Y178" s="26"/>
      <c r="Z178" s="26"/>
      <c r="AA178" s="26"/>
      <c r="AB178" s="26"/>
      <c r="AC178" s="26"/>
      <c r="AD178" s="26"/>
      <c r="AE178" s="26"/>
      <c r="AF178" s="26"/>
      <c r="AG178" s="77" t="s">
        <v>16</v>
      </c>
      <c r="AH178" s="17" t="s">
        <v>905</v>
      </c>
    </row>
    <row r="179" spans="1:34" ht="35.25" customHeight="1">
      <c r="A179" s="53" t="s">
        <v>1262</v>
      </c>
      <c r="B179" s="25" t="s">
        <v>403</v>
      </c>
      <c r="C179" s="17" t="s">
        <v>821</v>
      </c>
      <c r="D179" s="17" t="s">
        <v>1263</v>
      </c>
      <c r="E179" s="26" t="str" cm="1">
        <f t="array" ref="E17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79" s="26" t="s">
        <v>32</v>
      </c>
      <c r="G179" s="26" t="str" cm="1">
        <f t="array" ref="G17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79" s="26" t="s">
        <v>404</v>
      </c>
      <c r="I179" s="26" t="s">
        <v>231</v>
      </c>
      <c r="J179" s="26" t="s">
        <v>410</v>
      </c>
      <c r="K179" s="17" t="s">
        <v>16</v>
      </c>
      <c r="L179" s="17" t="s">
        <v>16</v>
      </c>
      <c r="M179" s="17" t="s">
        <v>16</v>
      </c>
      <c r="N179" s="17" t="s">
        <v>16</v>
      </c>
      <c r="O179" s="26" t="s">
        <v>891</v>
      </c>
      <c r="P179" s="26" t="s">
        <v>891</v>
      </c>
      <c r="Q179" s="26"/>
      <c r="R179" s="26" t="s">
        <v>891</v>
      </c>
      <c r="S179" s="26" t="s">
        <v>891</v>
      </c>
      <c r="T179" s="26" t="s">
        <v>891</v>
      </c>
      <c r="U179" s="26" t="s">
        <v>891</v>
      </c>
      <c r="V179" s="26"/>
      <c r="W179" s="26" t="s">
        <v>854</v>
      </c>
      <c r="X179" s="26"/>
      <c r="Y179" s="26"/>
      <c r="Z179" s="26"/>
      <c r="AA179" s="26"/>
      <c r="AB179" s="26"/>
      <c r="AC179" s="26"/>
      <c r="AD179" s="26"/>
      <c r="AE179" s="26"/>
      <c r="AF179" s="26"/>
      <c r="AG179" s="17"/>
      <c r="AH179" s="17" t="s">
        <v>968</v>
      </c>
    </row>
    <row r="180" spans="1:34" ht="35.25" customHeight="1">
      <c r="A180" s="53" t="s">
        <v>1264</v>
      </c>
      <c r="B180" s="21" t="s">
        <v>406</v>
      </c>
      <c r="C180" s="17" t="s">
        <v>822</v>
      </c>
      <c r="D180" s="17" t="s">
        <v>1263</v>
      </c>
      <c r="E180" s="17" t="str" cm="1">
        <f t="array" ref="E18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80" s="17" t="s">
        <v>35</v>
      </c>
      <c r="G180" s="17" t="str" cm="1">
        <f t="array" ref="G18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80" s="17" t="s">
        <v>407</v>
      </c>
      <c r="I180" s="17" t="s">
        <v>231</v>
      </c>
      <c r="J180" s="17" t="s">
        <v>413</v>
      </c>
      <c r="K180" s="17" t="s">
        <v>16</v>
      </c>
      <c r="L180" s="17" t="s">
        <v>16</v>
      </c>
      <c r="M180" s="17" t="s">
        <v>16</v>
      </c>
      <c r="N180" s="17" t="s">
        <v>16</v>
      </c>
      <c r="O180" s="17" t="s">
        <v>891</v>
      </c>
      <c r="P180" s="17" t="s">
        <v>891</v>
      </c>
      <c r="Q180" s="17"/>
      <c r="R180" s="17" t="s">
        <v>892</v>
      </c>
      <c r="S180" s="17" t="s">
        <v>892</v>
      </c>
      <c r="T180" s="17" t="s">
        <v>892</v>
      </c>
      <c r="U180" s="17" t="s">
        <v>892</v>
      </c>
      <c r="V180" s="17"/>
      <c r="W180" s="17" t="s">
        <v>856</v>
      </c>
      <c r="X180" s="17"/>
      <c r="Y180" s="17"/>
      <c r="Z180" s="17"/>
      <c r="AA180" s="17"/>
      <c r="AB180" s="17"/>
      <c r="AC180" s="17"/>
      <c r="AD180" s="17"/>
      <c r="AE180" s="17"/>
      <c r="AF180" s="17"/>
      <c r="AG180" s="17"/>
      <c r="AH180" s="17" t="s">
        <v>905</v>
      </c>
    </row>
    <row r="181" spans="1:34" ht="35.25" customHeight="1">
      <c r="A181" s="53" t="s">
        <v>1265</v>
      </c>
      <c r="B181" s="21" t="s">
        <v>411</v>
      </c>
      <c r="C181" s="17" t="s">
        <v>823</v>
      </c>
      <c r="D181" s="17" t="s">
        <v>1263</v>
      </c>
      <c r="E181" s="17" t="str" cm="1">
        <f t="array" ref="E18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81" s="17" t="s">
        <v>25</v>
      </c>
      <c r="G181" s="17" t="str" cm="1">
        <f t="array" ref="G18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81" s="17" t="s">
        <v>283</v>
      </c>
      <c r="I181" s="17" t="s">
        <v>231</v>
      </c>
      <c r="J181" s="17" t="s">
        <v>357</v>
      </c>
      <c r="K181" s="17" t="s">
        <v>16</v>
      </c>
      <c r="L181" s="17" t="s">
        <v>16</v>
      </c>
      <c r="M181" s="17" t="s">
        <v>16</v>
      </c>
      <c r="N181" s="17" t="s">
        <v>16</v>
      </c>
      <c r="O181" s="17" t="s">
        <v>891</v>
      </c>
      <c r="P181" s="17" t="s">
        <v>892</v>
      </c>
      <c r="Q181" s="17"/>
      <c r="R181" s="17" t="s">
        <v>892</v>
      </c>
      <c r="S181" s="17" t="s">
        <v>892</v>
      </c>
      <c r="T181" s="17" t="s">
        <v>892</v>
      </c>
      <c r="U181" s="17" t="s">
        <v>892</v>
      </c>
      <c r="V181" s="17"/>
      <c r="W181" s="17" t="s">
        <v>854</v>
      </c>
      <c r="X181" s="17"/>
      <c r="Y181" s="17"/>
      <c r="Z181" s="17"/>
      <c r="AA181" s="17"/>
      <c r="AB181" s="17"/>
      <c r="AC181" s="17"/>
      <c r="AD181" s="17"/>
      <c r="AE181" s="17"/>
      <c r="AF181" s="17"/>
      <c r="AG181" s="17"/>
      <c r="AH181" s="17" t="s">
        <v>905</v>
      </c>
    </row>
    <row r="182" spans="1:34" ht="35.25" customHeight="1">
      <c r="A182" s="53" t="s">
        <v>1266</v>
      </c>
      <c r="B182" s="21" t="s">
        <v>1267</v>
      </c>
      <c r="C182" s="17" t="s">
        <v>824</v>
      </c>
      <c r="D182" s="17" t="s">
        <v>1263</v>
      </c>
      <c r="E182" s="17" t="str" cm="1">
        <f t="array" ref="E18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82" s="17" t="s">
        <v>102</v>
      </c>
      <c r="G182" s="17" t="str" cm="1">
        <f t="array" ref="G18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82" s="17" t="s">
        <v>415</v>
      </c>
      <c r="I182" s="17" t="s">
        <v>409</v>
      </c>
      <c r="J182" s="17" t="s">
        <v>413</v>
      </c>
      <c r="K182" s="17" t="s">
        <v>16</v>
      </c>
      <c r="L182" s="17" t="s">
        <v>16</v>
      </c>
      <c r="M182" s="17" t="s">
        <v>16</v>
      </c>
      <c r="N182" s="17" t="s">
        <v>16</v>
      </c>
      <c r="O182" s="17" t="s">
        <v>892</v>
      </c>
      <c r="P182" s="17" t="s">
        <v>891</v>
      </c>
      <c r="Q182" s="17"/>
      <c r="R182" s="17" t="s">
        <v>891</v>
      </c>
      <c r="S182" s="17" t="s">
        <v>891</v>
      </c>
      <c r="T182" s="17" t="s">
        <v>891</v>
      </c>
      <c r="U182" s="17" t="s">
        <v>891</v>
      </c>
      <c r="V182" s="17"/>
      <c r="W182" s="17" t="s">
        <v>856</v>
      </c>
      <c r="X182" s="17"/>
      <c r="Y182" s="17"/>
      <c r="Z182" s="17"/>
      <c r="AA182" s="17"/>
      <c r="AB182" s="17"/>
      <c r="AC182" s="17"/>
      <c r="AD182" s="17"/>
      <c r="AE182" s="17"/>
      <c r="AF182" s="17"/>
      <c r="AG182" s="17"/>
      <c r="AH182" s="17" t="s">
        <v>934</v>
      </c>
    </row>
    <row r="183" spans="1:34" ht="35.25" customHeight="1">
      <c r="A183" s="53" t="s">
        <v>1268</v>
      </c>
      <c r="B183" s="21" t="s">
        <v>1269</v>
      </c>
      <c r="C183" s="17" t="s">
        <v>826</v>
      </c>
      <c r="D183" s="17" t="s">
        <v>1263</v>
      </c>
      <c r="E183" s="17" t="str" cm="1">
        <f t="array" ref="E18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83" s="17" t="s">
        <v>32</v>
      </c>
      <c r="G183" s="17" t="str" cm="1">
        <f t="array" ref="G18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83" s="17" t="s">
        <v>33</v>
      </c>
      <c r="I183" s="17" t="s">
        <v>231</v>
      </c>
      <c r="J183" s="17" t="s">
        <v>944</v>
      </c>
      <c r="K183" s="17" t="s">
        <v>16</v>
      </c>
      <c r="L183" s="17" t="s">
        <v>16</v>
      </c>
      <c r="M183" s="17" t="s">
        <v>16</v>
      </c>
      <c r="N183" s="17" t="s">
        <v>16</v>
      </c>
      <c r="O183" s="17" t="s">
        <v>891</v>
      </c>
      <c r="P183" s="17" t="s">
        <v>892</v>
      </c>
      <c r="Q183" s="17"/>
      <c r="R183" s="17" t="s">
        <v>892</v>
      </c>
      <c r="S183" s="17" t="s">
        <v>892</v>
      </c>
      <c r="T183" s="17" t="s">
        <v>892</v>
      </c>
      <c r="U183" s="17" t="s">
        <v>892</v>
      </c>
      <c r="V183" s="17"/>
      <c r="W183" s="17" t="s">
        <v>987</v>
      </c>
      <c r="X183" s="17"/>
      <c r="Y183" s="17"/>
      <c r="Z183" s="17"/>
      <c r="AA183" s="17"/>
      <c r="AB183" s="17"/>
      <c r="AC183" s="17"/>
      <c r="AD183" s="17"/>
      <c r="AE183" s="17"/>
      <c r="AF183" s="17"/>
      <c r="AG183" s="17"/>
      <c r="AH183" s="17" t="s">
        <v>988</v>
      </c>
    </row>
    <row r="184" spans="1:34" ht="35.25" customHeight="1">
      <c r="A184" s="53" t="s">
        <v>1270</v>
      </c>
      <c r="B184" s="21" t="s">
        <v>420</v>
      </c>
      <c r="C184" s="17" t="s">
        <v>827</v>
      </c>
      <c r="D184" s="17" t="s">
        <v>1263</v>
      </c>
      <c r="E184" s="17" t="str" cm="1">
        <f t="array" ref="E18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84" s="17" t="s">
        <v>35</v>
      </c>
      <c r="G184" s="17" t="str" cm="1">
        <f t="array" ref="G18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84" s="17" t="s">
        <v>375</v>
      </c>
      <c r="I184" s="17" t="s">
        <v>425</v>
      </c>
      <c r="J184" s="17" t="s">
        <v>357</v>
      </c>
      <c r="K184" s="17" t="s">
        <v>16</v>
      </c>
      <c r="L184" s="17" t="s">
        <v>16</v>
      </c>
      <c r="M184" s="17" t="s">
        <v>16</v>
      </c>
      <c r="N184" s="17" t="s">
        <v>16</v>
      </c>
      <c r="O184" s="17" t="s">
        <v>892</v>
      </c>
      <c r="P184" s="17" t="s">
        <v>892</v>
      </c>
      <c r="Q184" s="17"/>
      <c r="R184" s="17" t="s">
        <v>892</v>
      </c>
      <c r="S184" s="17" t="s">
        <v>892</v>
      </c>
      <c r="T184" s="17" t="s">
        <v>892</v>
      </c>
      <c r="U184" s="17" t="s">
        <v>892</v>
      </c>
      <c r="V184" s="17"/>
      <c r="W184" s="17" t="s">
        <v>854</v>
      </c>
      <c r="X184" s="17"/>
      <c r="Y184" s="17"/>
      <c r="Z184" s="17"/>
      <c r="AA184" s="17"/>
      <c r="AB184" s="17"/>
      <c r="AC184" s="17"/>
      <c r="AD184" s="17"/>
      <c r="AE184" s="17"/>
      <c r="AF184" s="17"/>
      <c r="AG184" s="17"/>
      <c r="AH184" s="17" t="s">
        <v>905</v>
      </c>
    </row>
    <row r="185" spans="1:34" ht="35.25" customHeight="1">
      <c r="A185" s="53" t="s">
        <v>1271</v>
      </c>
      <c r="B185" s="21" t="s">
        <v>391</v>
      </c>
      <c r="C185" s="17" t="s">
        <v>828</v>
      </c>
      <c r="D185" s="17" t="s">
        <v>1263</v>
      </c>
      <c r="E185" s="17" t="str" cm="1">
        <f t="array" ref="E185">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Não repúdio</v>
      </c>
      <c r="F185" s="17" t="s">
        <v>32</v>
      </c>
      <c r="G185" s="17" t="str" cm="1">
        <f t="array" ref="G185">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Regulatório/Compliance</v>
      </c>
      <c r="H185" s="17" t="s">
        <v>375</v>
      </c>
      <c r="I185" s="17" t="s">
        <v>231</v>
      </c>
      <c r="J185" s="17" t="s">
        <v>944</v>
      </c>
      <c r="K185" s="17" t="s">
        <v>16</v>
      </c>
      <c r="L185" s="17" t="s">
        <v>16</v>
      </c>
      <c r="M185" s="17" t="s">
        <v>16</v>
      </c>
      <c r="N185" s="17" t="s">
        <v>16</v>
      </c>
      <c r="O185" s="26" t="s">
        <v>891</v>
      </c>
      <c r="P185" s="17" t="s">
        <v>892</v>
      </c>
      <c r="Q185" s="17"/>
      <c r="R185" s="17" t="s">
        <v>892</v>
      </c>
      <c r="S185" s="17" t="s">
        <v>892</v>
      </c>
      <c r="T185" s="17" t="s">
        <v>892</v>
      </c>
      <c r="U185" s="17" t="s">
        <v>892</v>
      </c>
      <c r="V185" s="17"/>
      <c r="W185" s="17" t="s">
        <v>952</v>
      </c>
      <c r="X185" s="17"/>
      <c r="Y185" s="17"/>
      <c r="Z185" s="17"/>
      <c r="AA185" s="17"/>
      <c r="AB185" s="17"/>
      <c r="AC185" s="17"/>
      <c r="AD185" s="17"/>
      <c r="AE185" s="17"/>
      <c r="AF185" s="17"/>
      <c r="AG185" s="17"/>
      <c r="AH185" s="17" t="s">
        <v>905</v>
      </c>
    </row>
    <row r="186" spans="1:34" ht="35.25" customHeight="1">
      <c r="A186" s="53" t="s">
        <v>1272</v>
      </c>
      <c r="B186" s="21" t="s">
        <v>393</v>
      </c>
      <c r="C186" s="17" t="s">
        <v>829</v>
      </c>
      <c r="D186" s="17" t="s">
        <v>1263</v>
      </c>
      <c r="E186" s="17" t="str" cm="1">
        <f t="array" ref="E186">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86" s="17" t="s">
        <v>35</v>
      </c>
      <c r="G186" s="17" t="str" cm="1">
        <f t="array" ref="G186">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86" s="17" t="s">
        <v>418</v>
      </c>
      <c r="I186" s="17" t="s">
        <v>231</v>
      </c>
      <c r="J186" s="17" t="s">
        <v>232</v>
      </c>
      <c r="K186" s="17" t="s">
        <v>16</v>
      </c>
      <c r="L186" s="17" t="s">
        <v>16</v>
      </c>
      <c r="M186" s="17" t="s">
        <v>16</v>
      </c>
      <c r="N186" s="17" t="s">
        <v>16</v>
      </c>
      <c r="O186" s="26" t="s">
        <v>891</v>
      </c>
      <c r="P186" s="17" t="s">
        <v>892</v>
      </c>
      <c r="Q186" s="17"/>
      <c r="R186" s="17" t="s">
        <v>892</v>
      </c>
      <c r="S186" s="17" t="s">
        <v>892</v>
      </c>
      <c r="T186" s="17" t="s">
        <v>892</v>
      </c>
      <c r="U186" s="17" t="s">
        <v>892</v>
      </c>
      <c r="V186" s="17"/>
      <c r="W186" s="17" t="s">
        <v>854</v>
      </c>
      <c r="X186" s="17"/>
      <c r="Y186" s="17"/>
      <c r="Z186" s="17"/>
      <c r="AA186" s="17"/>
      <c r="AB186" s="17"/>
      <c r="AC186" s="17"/>
      <c r="AD186" s="17"/>
      <c r="AE186" s="17"/>
      <c r="AF186" s="17"/>
      <c r="AG186" s="17"/>
      <c r="AH186" s="17" t="s">
        <v>988</v>
      </c>
    </row>
    <row r="187" spans="1:34" ht="35.25" customHeight="1">
      <c r="A187" s="53" t="s">
        <v>1273</v>
      </c>
      <c r="B187" s="21" t="s">
        <v>830</v>
      </c>
      <c r="C187" s="17" t="s">
        <v>831</v>
      </c>
      <c r="D187" s="17" t="s">
        <v>1263</v>
      </c>
      <c r="E187" s="17" t="str" cm="1">
        <f t="array" ref="E187">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87" s="17" t="s">
        <v>35</v>
      </c>
      <c r="G187" s="17" t="str" cm="1">
        <f t="array" ref="G187">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87" s="17" t="s">
        <v>29</v>
      </c>
      <c r="I187" s="17" t="s">
        <v>425</v>
      </c>
      <c r="J187" s="17" t="s">
        <v>357</v>
      </c>
      <c r="K187" s="17" t="s">
        <v>16</v>
      </c>
      <c r="L187" s="17" t="s">
        <v>16</v>
      </c>
      <c r="M187" s="17" t="s">
        <v>16</v>
      </c>
      <c r="N187" s="17" t="s">
        <v>16</v>
      </c>
      <c r="O187" s="17" t="s">
        <v>913</v>
      </c>
      <c r="P187" s="17" t="s">
        <v>891</v>
      </c>
      <c r="Q187" s="17"/>
      <c r="R187" s="17" t="s">
        <v>892</v>
      </c>
      <c r="S187" s="17" t="s">
        <v>892</v>
      </c>
      <c r="T187" s="17" t="s">
        <v>892</v>
      </c>
      <c r="U187" s="17" t="s">
        <v>892</v>
      </c>
      <c r="V187" s="17"/>
      <c r="W187" s="17" t="s">
        <v>952</v>
      </c>
      <c r="X187" s="17"/>
      <c r="Y187" s="17"/>
      <c r="Z187" s="17"/>
      <c r="AA187" s="17"/>
      <c r="AB187" s="17"/>
      <c r="AC187" s="17"/>
      <c r="AD187" s="17"/>
      <c r="AE187" s="17"/>
      <c r="AF187" s="17"/>
      <c r="AG187" s="17"/>
      <c r="AH187" s="17" t="s">
        <v>953</v>
      </c>
    </row>
    <row r="188" spans="1:34" ht="35.25" hidden="1" customHeight="1">
      <c r="A188" s="53" t="s">
        <v>1274</v>
      </c>
      <c r="B188" s="25" t="s">
        <v>1275</v>
      </c>
      <c r="C188" s="17" t="s">
        <v>833</v>
      </c>
      <c r="D188" s="17" t="s">
        <v>156</v>
      </c>
      <c r="E188" s="26" t="str" cm="1">
        <f t="array" ref="E188">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88" s="17" t="s">
        <v>25</v>
      </c>
      <c r="G188" s="26" t="str" cm="1">
        <f t="array" ref="G188">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88" s="17" t="s">
        <v>375</v>
      </c>
      <c r="I188" s="17" t="s">
        <v>960</v>
      </c>
      <c r="J188" s="17" t="s">
        <v>1245</v>
      </c>
      <c r="K188" s="17" t="s">
        <v>16</v>
      </c>
      <c r="L188" s="17" t="s">
        <v>15</v>
      </c>
      <c r="M188" s="17" t="s">
        <v>15</v>
      </c>
      <c r="N188" s="17" t="s">
        <v>15</v>
      </c>
      <c r="O188" s="26" t="s">
        <v>891</v>
      </c>
      <c r="P188" s="26" t="s">
        <v>892</v>
      </c>
      <c r="Q188" s="26"/>
      <c r="R188" s="26" t="s">
        <v>892</v>
      </c>
      <c r="S188" s="26" t="s">
        <v>892</v>
      </c>
      <c r="T188" s="26" t="s">
        <v>892</v>
      </c>
      <c r="U188" s="26" t="s">
        <v>892</v>
      </c>
      <c r="V188" s="26"/>
      <c r="W188" s="26" t="s">
        <v>978</v>
      </c>
      <c r="X188" s="26"/>
      <c r="Y188" s="26"/>
      <c r="Z188" s="26"/>
      <c r="AA188" s="26"/>
      <c r="AB188" s="26"/>
      <c r="AC188" s="26"/>
      <c r="AD188" s="26"/>
      <c r="AE188" s="26"/>
      <c r="AF188" s="26"/>
      <c r="AG188" s="17"/>
      <c r="AH188" s="17" t="s">
        <v>905</v>
      </c>
    </row>
    <row r="189" spans="1:34" ht="35.25" hidden="1" customHeight="1">
      <c r="A189" s="53" t="s">
        <v>1276</v>
      </c>
      <c r="B189" s="25" t="s">
        <v>834</v>
      </c>
      <c r="C189" s="17" t="s">
        <v>835</v>
      </c>
      <c r="D189" s="17" t="s">
        <v>156</v>
      </c>
      <c r="E189" s="26" t="str" cm="1">
        <f t="array" ref="E189">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Integridade</v>
      </c>
      <c r="F189" s="26" t="s">
        <v>25</v>
      </c>
      <c r="G189" s="26" t="str" cm="1">
        <f t="array" ref="G189">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a imagem</v>
      </c>
      <c r="H189" s="26" t="s">
        <v>26</v>
      </c>
      <c r="I189" s="17" t="s">
        <v>960</v>
      </c>
      <c r="J189" s="26" t="s">
        <v>1245</v>
      </c>
      <c r="K189" s="17" t="s">
        <v>16</v>
      </c>
      <c r="L189" s="17" t="s">
        <v>15</v>
      </c>
      <c r="M189" s="17" t="s">
        <v>15</v>
      </c>
      <c r="N189" s="17" t="s">
        <v>15</v>
      </c>
      <c r="O189" s="26" t="s">
        <v>891</v>
      </c>
      <c r="P189" s="26" t="s">
        <v>892</v>
      </c>
      <c r="Q189" s="26"/>
      <c r="R189" s="26" t="s">
        <v>892</v>
      </c>
      <c r="S189" s="26" t="s">
        <v>892</v>
      </c>
      <c r="T189" s="26" t="s">
        <v>892</v>
      </c>
      <c r="U189" s="26" t="s">
        <v>892</v>
      </c>
      <c r="V189" s="26"/>
      <c r="W189" s="26" t="s">
        <v>978</v>
      </c>
      <c r="X189" s="26"/>
      <c r="Y189" s="26"/>
      <c r="Z189" s="26"/>
      <c r="AA189" s="26"/>
      <c r="AB189" s="26"/>
      <c r="AC189" s="26"/>
      <c r="AD189" s="26"/>
      <c r="AE189" s="26"/>
      <c r="AF189" s="26"/>
      <c r="AG189" s="17"/>
      <c r="AH189" s="17" t="s">
        <v>905</v>
      </c>
    </row>
    <row r="190" spans="1:34" ht="35.25" hidden="1" customHeight="1">
      <c r="A190" s="53" t="s">
        <v>1277</v>
      </c>
      <c r="B190" s="21" t="s">
        <v>291</v>
      </c>
      <c r="C190" s="17" t="s">
        <v>837</v>
      </c>
      <c r="D190" s="17" t="s">
        <v>156</v>
      </c>
      <c r="E190" s="17" t="str" cm="1">
        <f t="array" ref="E190">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90" s="17" t="s">
        <v>35</v>
      </c>
      <c r="G190" s="17" t="str" cm="1">
        <f t="array" ref="G190">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90" s="17" t="s">
        <v>283</v>
      </c>
      <c r="I190" s="17" t="s">
        <v>960</v>
      </c>
      <c r="J190" s="17" t="s">
        <v>1245</v>
      </c>
      <c r="K190" s="17" t="s">
        <v>16</v>
      </c>
      <c r="L190" s="17" t="s">
        <v>15</v>
      </c>
      <c r="M190" s="17" t="s">
        <v>15</v>
      </c>
      <c r="N190" s="17" t="s">
        <v>15</v>
      </c>
      <c r="O190" s="17" t="s">
        <v>913</v>
      </c>
      <c r="P190" s="17" t="s">
        <v>892</v>
      </c>
      <c r="Q190" s="17"/>
      <c r="R190" s="17" t="s">
        <v>892</v>
      </c>
      <c r="S190" s="17" t="s">
        <v>892</v>
      </c>
      <c r="T190" s="17" t="s">
        <v>892</v>
      </c>
      <c r="U190" s="17" t="s">
        <v>892</v>
      </c>
      <c r="V190" s="17"/>
      <c r="W190" s="17" t="s">
        <v>952</v>
      </c>
      <c r="X190" s="17"/>
      <c r="Y190" s="17"/>
      <c r="Z190" s="17"/>
      <c r="AA190" s="17"/>
      <c r="AB190" s="17"/>
      <c r="AC190" s="17"/>
      <c r="AD190" s="17"/>
      <c r="AE190" s="17"/>
      <c r="AF190" s="17"/>
      <c r="AG190" s="17"/>
      <c r="AH190" s="17" t="s">
        <v>905</v>
      </c>
    </row>
    <row r="191" spans="1:34" ht="35.25" hidden="1" customHeight="1">
      <c r="A191" s="53" t="s">
        <v>1278</v>
      </c>
      <c r="B191" s="21" t="s">
        <v>547</v>
      </c>
      <c r="C191" s="17" t="s">
        <v>838</v>
      </c>
      <c r="D191" s="17" t="s">
        <v>156</v>
      </c>
      <c r="E191" s="17" t="str" cm="1">
        <f t="array" ref="E191">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Autenticação</v>
      </c>
      <c r="F191" s="17" t="s">
        <v>102</v>
      </c>
      <c r="G191" s="17" t="str" cm="1">
        <f t="array" ref="G191">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Fraudes/Vazamento de dados</v>
      </c>
      <c r="H191" s="17" t="s">
        <v>23</v>
      </c>
      <c r="I191" s="17" t="s">
        <v>960</v>
      </c>
      <c r="J191" s="17" t="s">
        <v>1245</v>
      </c>
      <c r="K191" s="17" t="s">
        <v>16</v>
      </c>
      <c r="L191" s="17" t="s">
        <v>15</v>
      </c>
      <c r="M191" s="17" t="s">
        <v>15</v>
      </c>
      <c r="N191" s="17" t="s">
        <v>15</v>
      </c>
      <c r="O191" s="17" t="s">
        <v>913</v>
      </c>
      <c r="P191" s="17" t="s">
        <v>891</v>
      </c>
      <c r="Q191" s="17"/>
      <c r="R191" s="17" t="s">
        <v>892</v>
      </c>
      <c r="S191" s="17" t="s">
        <v>892</v>
      </c>
      <c r="T191" s="17" t="s">
        <v>892</v>
      </c>
      <c r="U191" s="17" t="s">
        <v>892</v>
      </c>
      <c r="V191" s="17"/>
      <c r="W191" s="17" t="s">
        <v>856</v>
      </c>
      <c r="X191" s="17"/>
      <c r="Y191" s="17"/>
      <c r="Z191" s="17"/>
      <c r="AA191" s="17"/>
      <c r="AB191" s="17"/>
      <c r="AC191" s="17"/>
      <c r="AD191" s="17"/>
      <c r="AE191" s="17"/>
      <c r="AF191" s="17"/>
      <c r="AG191" s="17"/>
      <c r="AH191" s="17" t="s">
        <v>934</v>
      </c>
    </row>
    <row r="192" spans="1:34" ht="35.25" hidden="1" customHeight="1">
      <c r="A192" s="53" t="s">
        <v>1279</v>
      </c>
      <c r="B192" s="25" t="s">
        <v>551</v>
      </c>
      <c r="C192" s="17" t="s">
        <v>839</v>
      </c>
      <c r="D192" s="17" t="s">
        <v>156</v>
      </c>
      <c r="E192" s="26" t="str" cm="1">
        <f t="array" ref="E192">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Confidencialidade</v>
      </c>
      <c r="F192" s="26" t="s">
        <v>35</v>
      </c>
      <c r="G192" s="26" t="str" cm="1">
        <f t="array" ref="G192">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Vazamento de dados</v>
      </c>
      <c r="H192" s="26" t="s">
        <v>26</v>
      </c>
      <c r="I192" s="26" t="s">
        <v>960</v>
      </c>
      <c r="J192" s="26" t="s">
        <v>1245</v>
      </c>
      <c r="K192" s="26" t="s">
        <v>16</v>
      </c>
      <c r="L192" s="26" t="s">
        <v>15</v>
      </c>
      <c r="M192" s="26" t="s">
        <v>15</v>
      </c>
      <c r="N192" s="26" t="s">
        <v>15</v>
      </c>
      <c r="O192" s="26" t="s">
        <v>891</v>
      </c>
      <c r="P192" s="26" t="s">
        <v>892</v>
      </c>
      <c r="Q192" s="26"/>
      <c r="R192" s="26" t="s">
        <v>892</v>
      </c>
      <c r="S192" s="26" t="s">
        <v>892</v>
      </c>
      <c r="T192" s="26" t="s">
        <v>892</v>
      </c>
      <c r="U192" s="26" t="s">
        <v>892</v>
      </c>
      <c r="V192" s="26"/>
      <c r="W192" s="26" t="s">
        <v>952</v>
      </c>
      <c r="X192" s="26"/>
      <c r="Y192" s="26"/>
      <c r="Z192" s="26"/>
      <c r="AA192" s="26"/>
      <c r="AB192" s="26"/>
      <c r="AC192" s="26"/>
      <c r="AD192" s="26"/>
      <c r="AE192" s="26"/>
      <c r="AF192" s="26"/>
      <c r="AG192" s="17"/>
      <c r="AH192" s="17" t="s">
        <v>905</v>
      </c>
    </row>
    <row r="193" spans="1:34" ht="35.25" hidden="1" customHeight="1">
      <c r="A193" s="53" t="s">
        <v>1280</v>
      </c>
      <c r="B193" s="21" t="s">
        <v>543</v>
      </c>
      <c r="C193" s="17" t="s">
        <v>840</v>
      </c>
      <c r="D193" s="17" t="s">
        <v>156</v>
      </c>
      <c r="E193" s="17" t="str" cm="1">
        <f t="array" ref="E193">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193" s="17" t="s">
        <v>22</v>
      </c>
      <c r="G193" s="17" t="str" cm="1">
        <f t="array" ref="G193">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193" s="17" t="s">
        <v>26</v>
      </c>
      <c r="I193" s="17" t="s">
        <v>960</v>
      </c>
      <c r="J193" s="17" t="s">
        <v>1245</v>
      </c>
      <c r="K193" s="17" t="s">
        <v>16</v>
      </c>
      <c r="L193" s="17" t="s">
        <v>15</v>
      </c>
      <c r="M193" s="17" t="s">
        <v>15</v>
      </c>
      <c r="N193" s="17" t="s">
        <v>15</v>
      </c>
      <c r="O193" s="26" t="s">
        <v>891</v>
      </c>
      <c r="P193" s="17" t="s">
        <v>892</v>
      </c>
      <c r="Q193" s="17"/>
      <c r="R193" s="17" t="s">
        <v>892</v>
      </c>
      <c r="S193" s="17" t="s">
        <v>892</v>
      </c>
      <c r="T193" s="17" t="s">
        <v>892</v>
      </c>
      <c r="U193" s="17" t="s">
        <v>892</v>
      </c>
      <c r="V193" s="17"/>
      <c r="W193" s="17" t="s">
        <v>978</v>
      </c>
      <c r="X193" s="17"/>
      <c r="Y193" s="17"/>
      <c r="Z193" s="17"/>
      <c r="AA193" s="17"/>
      <c r="AB193" s="17"/>
      <c r="AC193" s="17"/>
      <c r="AD193" s="17"/>
      <c r="AE193" s="17"/>
      <c r="AF193" s="17"/>
      <c r="AG193" s="17"/>
      <c r="AH193" s="17" t="s">
        <v>905</v>
      </c>
    </row>
    <row r="194" spans="1:34" ht="35.25" hidden="1" customHeight="1">
      <c r="A194" s="53" t="s">
        <v>1281</v>
      </c>
      <c r="B194" s="25" t="s">
        <v>1282</v>
      </c>
      <c r="C194" s="17" t="s">
        <v>842</v>
      </c>
      <c r="D194" s="17" t="s">
        <v>156</v>
      </c>
      <c r="E194" s="26" t="str" cm="1">
        <f t="array" ref="E194">IF(Tabela13[[#This Row],[STRIDE LM]]="Information Disclosure",Formatação!H$5,IF(Tabela13[[#This Row],[STRIDE LM]]="Repudiation",Formatação!H$4,IF(Tabela13[[#This Row],[STRIDE LM]]="Spoofing",Formatação!H$2,IF(Tabela13[[#This Row],[STRIDE LM]]="Tampering",Formatação!H$3, IF(Tabela13[[#This Row],[STRIDE LM]]="Denial of Service",Formatação!H$6,IF(Tabela13[[#This Row],[STRIDE LM]]="Elevation of Privilege",Formatação!H$7,IF(Tabela13[[#This Row],[STRIDE LM]]="Lateral Movement",Formatação!H$8,Errado)))))))</f>
        <v>Autorização</v>
      </c>
      <c r="F194" s="26" t="s">
        <v>22</v>
      </c>
      <c r="G194" s="26" t="str" cm="1">
        <f t="array" ref="G194">IF(Tabela13[[#This Row],[STRIDE LM]]="Information Disclosure",Formatação!J$5,IF(Tabela13[[#This Row],[STRIDE LM]]="Repudiation",Formatação!J$4,IF(Tabela13[[#This Row],[STRIDE LM]]="Spoofing",Formatação!J$2,IF(Tabela13[[#This Row],[STRIDE LM]]="Tampering",Formatação!J$3, IF(Tabela13[[#This Row],[STRIDE LM]]="Denial of Service",Formatação!J$6,IF(Tabela13[[#This Row],[STRIDE LM]]="Elevation of Privilege",Formatação!J$7,IF(Tabela13[[#This Row],[STRIDE LM]]="Lateral Movement",Formatação!J$8,Errado)))))))</f>
        <v>Danos financeiros/Vazamento de dados</v>
      </c>
      <c r="H194" s="26" t="s">
        <v>26</v>
      </c>
      <c r="I194" s="26" t="s">
        <v>960</v>
      </c>
      <c r="J194" s="26" t="s">
        <v>1245</v>
      </c>
      <c r="K194" s="26" t="s">
        <v>16</v>
      </c>
      <c r="L194" s="26" t="s">
        <v>15</v>
      </c>
      <c r="M194" s="26" t="s">
        <v>15</v>
      </c>
      <c r="N194" s="26" t="s">
        <v>15</v>
      </c>
      <c r="O194" s="26" t="s">
        <v>891</v>
      </c>
      <c r="P194" s="26" t="s">
        <v>891</v>
      </c>
      <c r="Q194" s="26"/>
      <c r="R194" s="26" t="s">
        <v>892</v>
      </c>
      <c r="S194" s="26" t="s">
        <v>892</v>
      </c>
      <c r="T194" s="26" t="s">
        <v>892</v>
      </c>
      <c r="U194" s="26" t="s">
        <v>892</v>
      </c>
      <c r="V194" s="26"/>
      <c r="W194" s="26" t="s">
        <v>978</v>
      </c>
      <c r="X194" s="26"/>
      <c r="Y194" s="26"/>
      <c r="Z194" s="26"/>
      <c r="AA194" s="26"/>
      <c r="AB194" s="26"/>
      <c r="AC194" s="26"/>
      <c r="AD194" s="26"/>
      <c r="AE194" s="26"/>
      <c r="AF194" s="26"/>
      <c r="AG194" s="17"/>
      <c r="AH194" s="26" t="s">
        <v>905</v>
      </c>
    </row>
  </sheetData>
  <autoFilter ref="A1:A194" xr:uid="{9E164F26-B20A-465F-BF07-EF90CFE3B38A}"/>
  <phoneticPr fontId="30" type="noConversion"/>
  <conditionalFormatting sqref="B154:B170">
    <cfRule type="colorScale" priority="29">
      <colorScale>
        <cfvo type="min"/>
        <cfvo type="percentile" val="50"/>
        <cfvo type="max"/>
        <color theme="4"/>
        <color rgb="FF7030A0"/>
        <color rgb="FF63BE7B"/>
      </colorScale>
    </cfRule>
  </conditionalFormatting>
  <conditionalFormatting sqref="K154:U184 X160:X166 X180:X182 X184 K185:N186 P185:U186 X186:X187 K187:U187 K188:N189">
    <cfRule type="containsText" dxfId="113" priority="10" operator="containsText" text="Não">
      <formula>NOT(ISERROR(SEARCH("Não",K154)))</formula>
    </cfRule>
  </conditionalFormatting>
  <conditionalFormatting sqref="N180:U182">
    <cfRule type="containsText" dxfId="112" priority="13" operator="containsText" text="Não">
      <formula>NOT(ISERROR(SEARCH("Não",N180)))</formula>
    </cfRule>
  </conditionalFormatting>
  <conditionalFormatting sqref="O40:O41">
    <cfRule type="containsText" dxfId="111" priority="4" operator="containsText" text="Não">
      <formula>NOT(ISERROR(SEARCH("Não",O40)))</formula>
    </cfRule>
  </conditionalFormatting>
  <conditionalFormatting sqref="O49">
    <cfRule type="containsText" dxfId="110" priority="3" operator="containsText" text="Não">
      <formula>NOT(ISERROR(SEARCH("Não",O49)))</formula>
    </cfRule>
  </conditionalFormatting>
  <conditionalFormatting sqref="O51">
    <cfRule type="containsText" dxfId="109" priority="2" operator="containsText" text="Não">
      <formula>NOT(ISERROR(SEARCH("Não",O51)))</formula>
    </cfRule>
  </conditionalFormatting>
  <conditionalFormatting sqref="O185:O186">
    <cfRule type="containsText" dxfId="108" priority="6" operator="containsText" text="Não">
      <formula>NOT(ISERROR(SEARCH("Não",O185)))</formula>
    </cfRule>
  </conditionalFormatting>
  <conditionalFormatting sqref="O192:O194">
    <cfRule type="containsText" dxfId="107" priority="7" operator="containsText" text="Não">
      <formula>NOT(ISERROR(SEARCH("Não",O192)))</formula>
    </cfRule>
  </conditionalFormatting>
  <conditionalFormatting sqref="P193">
    <cfRule type="containsText" dxfId="106" priority="1" operator="containsText" text="Não">
      <formula>NOT(ISERROR(SEARCH("Não",P193)))</formula>
    </cfRule>
  </conditionalFormatting>
  <conditionalFormatting sqref="W2:X6 K2:U39 V2:V91 W7:W12 W13:Z15 W16:AA16 X17 W18:X18 X19:X20 W21:X22 X23:X24 W25:Z28 W29:X39 K52:U91 W61:X91 N121:U130 V121:V130 W122:X130 V139:V148 L140:U140 W140:X148 N141:U148 W154:X159 V154:V189 W167:X179 W183:X183 W185:X185 P188:U189 W188:X189">
    <cfRule type="containsText" dxfId="105" priority="23" operator="containsText" text="Não">
      <formula>NOT(ISERROR(SEARCH("Não",K2)))</formula>
    </cfRule>
  </conditionalFormatting>
  <conditionalFormatting sqref="X7:X10 X11:Z12 AA12:AA15 W17 Y17:AA20 W19:W20 W23:W24 K40:N41 P40:U41 X40:X60 K42:U48 K49:N49 P49:U49 K50:U50 K51:N51 P51:U51 I92:L109 W95:W96 W100:W101 W103:W122 J104:M109 X121 W134 W138:W139 K139:U139 X139 L141:M147 W160:W166 W180:W182 W184 W186:W187 O188:O189">
    <cfRule type="containsText" dxfId="104" priority="25" operator="containsText" text="Não">
      <formula>NOT(ISERROR(SEARCH("Não",I7)))</formula>
    </cfRule>
  </conditionalFormatting>
  <conditionalFormatting sqref="AJ18:AM21">
    <cfRule type="containsText" dxfId="103" priority="24" operator="containsText" text="Não">
      <formula>NOT(ISERROR(SEARCH("Não",AJ18)))</formula>
    </cfRule>
  </conditionalFormatting>
  <hyperlinks>
    <hyperlink ref="Z2" r:id="rId1" xr:uid="{AF825EB3-9DBC-4D92-86F3-9771F714115B}"/>
    <hyperlink ref="Z3" r:id="rId2" xr:uid="{4B252356-F654-4A89-9792-D8A7278E251A}"/>
  </hyperlinks>
  <pageMargins left="0.511811024" right="0.511811024" top="0.78740157499999996" bottom="0.78740157499999996" header="0.31496062000000002" footer="0.31496062000000002"/>
  <legacyDrawing r:id="rId3"/>
  <tableParts count="1">
    <tablePart r:id="rId4"/>
  </tableParts>
  <extLst>
    <ext xmlns:x14="http://schemas.microsoft.com/office/spreadsheetml/2009/9/main" uri="{CCE6A557-97BC-4b89-ADB6-D9C93CAAB3DF}">
      <x14:dataValidations xmlns:xm="http://schemas.microsoft.com/office/excel/2006/main" count="12">
        <x14:dataValidation type="list" allowBlank="1" showInputMessage="1" showErrorMessage="1" xr:uid="{C1009092-FBC3-4B49-8A88-7D7CFC36AEFE}">
          <x14:formula1>
            <xm:f>Formatação!$C$2:$C$9</xm:f>
          </x14:formula1>
          <xm:sqref>AH18:AH21 AB71:AB91</xm:sqref>
        </x14:dataValidation>
        <x14:dataValidation type="list" allowBlank="1" showInputMessage="1" showErrorMessage="1" xr:uid="{79C98952-6EA6-46B6-A26A-C14DC8B5010F}">
          <x14:formula1>
            <xm:f>Formatação!$B$2:$B$7</xm:f>
          </x14:formula1>
          <xm:sqref>AG18:AG21 D195:D1048576 G171:G1048576 E171:E1048576</xm:sqref>
        </x14:dataValidation>
        <x14:dataValidation type="list" allowBlank="1" showInputMessage="1" showErrorMessage="1" xr:uid="{2AEB6A9D-2C4C-4A83-8A1E-36A32AF61134}">
          <x14:formula1>
            <xm:f>Formatação!$E$2:$E$4</xm:f>
          </x14:formula1>
          <xm:sqref>AJ18:AM21</xm:sqref>
        </x14:dataValidation>
        <x14:dataValidation type="list" allowBlank="1" showInputMessage="1" showErrorMessage="1" xr:uid="{86CBE3FE-ECDF-419C-B172-36B018AC2FEA}">
          <x14:formula1>
            <xm:f>Formatação!$D$2:$D$11</xm:f>
          </x14:formula1>
          <xm:sqref>AI18:AI21 Y92:Z138 Y140:Z194 X195:Y1048576</xm:sqref>
        </x14:dataValidation>
        <x14:dataValidation type="list" allowBlank="1" showInputMessage="1" showErrorMessage="1" xr:uid="{F85CB5F0-28B3-4D52-9F01-F1C24D4317D6}">
          <x14:formula1>
            <xm:f>Formatação!$D$2:$D$29</xm:f>
          </x14:formula1>
          <xm:sqref>AC71:AC91</xm:sqref>
        </x14:dataValidation>
        <x14:dataValidation type="list" allowBlank="1" showInputMessage="1" showErrorMessage="1" xr:uid="{F15480D2-336F-4EA0-98DB-887061B2579A}">
          <x14:formula1>
            <xm:f>Formatação!$A$2:$A$41</xm:f>
          </x14:formula1>
          <xm:sqref>AF17:AF20 D2:D194</xm:sqref>
        </x14:dataValidation>
        <x14:dataValidation type="list" allowBlank="1" showInputMessage="1" showErrorMessage="1" xr:uid="{D488B7B2-96D1-4147-9390-B8F282E87900}">
          <x14:formula1>
            <xm:f>Formatação!$G$2:$G$8</xm:f>
          </x14:formula1>
          <xm:sqref>I195:I1048576</xm:sqref>
        </x14:dataValidation>
        <x14:dataValidation type="list" allowBlank="1" showInputMessage="1" showErrorMessage="1" xr:uid="{3CBD16AF-7D68-4C1A-9221-4E85F076B106}">
          <x14:formula1>
            <xm:f>Formatação!$E$2:$E$3</xm:f>
          </x14:formula1>
          <xm:sqref>K2:N1048576 O195:U1048576 X2:X194 W195:W1048576</xm:sqref>
        </x14:dataValidation>
        <x14:dataValidation type="list" allowBlank="1" showInputMessage="1" showErrorMessage="1" xr:uid="{246B0B0C-166A-4B12-A570-EC27D1E91C28}">
          <x14:formula1>
            <xm:f>Formatação!$D$2:$D$12</xm:f>
          </x14:formula1>
          <xm:sqref>H2:H1048576</xm:sqref>
        </x14:dataValidation>
        <x14:dataValidation type="list" allowBlank="1" showInputMessage="1" showErrorMessage="1" xr:uid="{8870ABE0-E507-4F29-A236-4B48C9D525A3}">
          <x14:formula1>
            <xm:f>Formatação!$C$2:$C$8</xm:f>
          </x14:formula1>
          <xm:sqref>F2:F1048576</xm:sqref>
        </x14:dataValidation>
        <x14:dataValidation type="list" allowBlank="1" showInputMessage="1" showErrorMessage="1" xr:uid="{937CB4F3-D1EF-49C5-9C3D-DC8457A8CDC8}">
          <x14:formula1>
            <xm:f>Formatação!$F$2:$F$13</xm:f>
          </x14:formula1>
          <xm:sqref>J2:J1048576</xm:sqref>
        </x14:dataValidation>
        <x14:dataValidation type="list" allowBlank="1" showInputMessage="1" showErrorMessage="1" xr:uid="{45F6E5ED-4070-43E6-A4FE-BC0601B4945E}">
          <x14:formula1>
            <xm:f>Formatação!$G$2:$G$10</xm:f>
          </x14:formula1>
          <xm:sqref>I2:I194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AB4AA-EA50-424C-9C9C-0693000181B1}">
  <sheetPr>
    <tabColor theme="8"/>
  </sheetPr>
  <dimension ref="A1:P60"/>
  <sheetViews>
    <sheetView zoomScale="145" zoomScaleNormal="145" workbookViewId="0">
      <selection activeCell="A23" sqref="A23"/>
    </sheetView>
  </sheetViews>
  <sheetFormatPr defaultColWidth="8.7109375" defaultRowHeight="14.45"/>
  <cols>
    <col min="1" max="1" width="36.28515625" style="38" bestFit="1" customWidth="1"/>
    <col min="2" max="2" width="40.42578125" style="38" customWidth="1"/>
    <col min="3" max="3" width="71.140625" style="38" bestFit="1" customWidth="1"/>
    <col min="4" max="4" width="74.42578125" style="38" bestFit="1" customWidth="1"/>
    <col min="5" max="5" width="21.42578125" style="38" bestFit="1" customWidth="1"/>
    <col min="6" max="6" width="39.42578125" style="38" bestFit="1" customWidth="1"/>
    <col min="7" max="7" width="40.42578125" style="38" bestFit="1" customWidth="1"/>
    <col min="8" max="8" width="21.7109375" style="38" bestFit="1" customWidth="1"/>
    <col min="9" max="10" width="36.42578125" style="38" bestFit="1" customWidth="1"/>
    <col min="11" max="11" width="34.42578125" style="38" bestFit="1" customWidth="1"/>
    <col min="12" max="12" width="36.42578125" style="38" bestFit="1" customWidth="1"/>
    <col min="13" max="16384" width="8.7109375" style="38"/>
  </cols>
  <sheetData>
    <row r="1" spans="1:12">
      <c r="A1" s="35" t="s">
        <v>1283</v>
      </c>
      <c r="B1" s="35" t="s">
        <v>1284</v>
      </c>
      <c r="C1" s="35" t="s">
        <v>1285</v>
      </c>
      <c r="D1" s="35" t="s">
        <v>4</v>
      </c>
      <c r="E1" s="35" t="s">
        <v>1286</v>
      </c>
      <c r="F1" s="37" t="s">
        <v>227</v>
      </c>
      <c r="G1" s="37" t="s">
        <v>1287</v>
      </c>
      <c r="H1" s="35" t="s">
        <v>224</v>
      </c>
      <c r="I1" s="35" t="s">
        <v>43</v>
      </c>
      <c r="J1" s="35" t="s">
        <v>431</v>
      </c>
      <c r="K1" s="35" t="s">
        <v>1288</v>
      </c>
    </row>
    <row r="2" spans="1:12">
      <c r="A2" s="38" t="s">
        <v>846</v>
      </c>
      <c r="B2" s="38" t="s">
        <v>1289</v>
      </c>
      <c r="C2" s="38" t="s">
        <v>102</v>
      </c>
      <c r="D2" s="38" t="s">
        <v>375</v>
      </c>
      <c r="E2" s="38" t="s">
        <v>847</v>
      </c>
      <c r="F2" s="40" t="s">
        <v>413</v>
      </c>
      <c r="G2" s="38" t="s">
        <v>951</v>
      </c>
      <c r="H2" s="38" t="s">
        <v>436</v>
      </c>
      <c r="I2" s="38" t="s">
        <v>102</v>
      </c>
      <c r="J2" s="38" t="s">
        <v>1290</v>
      </c>
      <c r="K2" s="38" t="s">
        <v>1291</v>
      </c>
    </row>
    <row r="3" spans="1:12">
      <c r="A3" s="38" t="s">
        <v>1292</v>
      </c>
      <c r="B3" s="38" t="s">
        <v>19</v>
      </c>
      <c r="C3" s="38" t="s">
        <v>25</v>
      </c>
      <c r="D3" s="38" t="s">
        <v>23</v>
      </c>
      <c r="E3" s="38" t="s">
        <v>1293</v>
      </c>
      <c r="F3" s="40" t="s">
        <v>410</v>
      </c>
      <c r="G3" s="38" t="s">
        <v>960</v>
      </c>
      <c r="H3" s="38" t="s">
        <v>459</v>
      </c>
      <c r="I3" s="38" t="s">
        <v>25</v>
      </c>
      <c r="J3" s="38" t="s">
        <v>53</v>
      </c>
      <c r="K3" s="38" t="s">
        <v>53</v>
      </c>
    </row>
    <row r="4" spans="1:12">
      <c r="A4" s="38" t="s">
        <v>230</v>
      </c>
      <c r="B4" s="38" t="s">
        <v>12</v>
      </c>
      <c r="C4" s="38" t="s">
        <v>32</v>
      </c>
      <c r="D4" s="38" t="s">
        <v>29</v>
      </c>
      <c r="F4" s="40" t="s">
        <v>1178</v>
      </c>
      <c r="G4" s="38" t="s">
        <v>409</v>
      </c>
      <c r="H4" s="38" t="s">
        <v>451</v>
      </c>
      <c r="I4" s="38" t="s">
        <v>452</v>
      </c>
      <c r="J4" s="38" t="s">
        <v>31</v>
      </c>
      <c r="K4" s="38" t="s">
        <v>31</v>
      </c>
    </row>
    <row r="5" spans="1:12">
      <c r="A5" s="38" t="s">
        <v>1294</v>
      </c>
      <c r="B5" s="38" t="s">
        <v>1295</v>
      </c>
      <c r="C5" s="38" t="s">
        <v>35</v>
      </c>
      <c r="D5" s="38" t="s">
        <v>259</v>
      </c>
      <c r="F5" s="40" t="s">
        <v>232</v>
      </c>
      <c r="G5" s="38" t="s">
        <v>231</v>
      </c>
      <c r="H5" s="38" t="s">
        <v>448</v>
      </c>
      <c r="I5" s="38" t="s">
        <v>67</v>
      </c>
      <c r="J5" s="38" t="s">
        <v>12</v>
      </c>
      <c r="K5" s="38" t="s">
        <v>12</v>
      </c>
    </row>
    <row r="6" spans="1:12">
      <c r="A6" s="38" t="s">
        <v>218</v>
      </c>
      <c r="B6" s="38" t="s">
        <v>31</v>
      </c>
      <c r="C6" s="38" t="s">
        <v>239</v>
      </c>
      <c r="D6" s="38" t="s">
        <v>14</v>
      </c>
      <c r="F6" s="40" t="s">
        <v>364</v>
      </c>
      <c r="G6" s="38" t="s">
        <v>425</v>
      </c>
      <c r="H6" s="38" t="s">
        <v>1296</v>
      </c>
      <c r="I6" s="38" t="s">
        <v>239</v>
      </c>
      <c r="J6" s="38" t="s">
        <v>19</v>
      </c>
      <c r="K6" s="38" t="s">
        <v>19</v>
      </c>
    </row>
    <row r="7" spans="1:12">
      <c r="A7" s="38" t="s">
        <v>364</v>
      </c>
      <c r="C7" s="38" t="s">
        <v>22</v>
      </c>
      <c r="D7" s="38" t="s">
        <v>26</v>
      </c>
      <c r="F7" s="40" t="s">
        <v>1245</v>
      </c>
      <c r="G7" s="38" t="s">
        <v>453</v>
      </c>
      <c r="H7" s="38" t="s">
        <v>541</v>
      </c>
      <c r="I7" s="38" t="s">
        <v>22</v>
      </c>
      <c r="J7" s="38" t="s">
        <v>1297</v>
      </c>
      <c r="K7" s="38" t="s">
        <v>1297</v>
      </c>
    </row>
    <row r="8" spans="1:12">
      <c r="A8" s="39" t="s">
        <v>180</v>
      </c>
      <c r="C8" s="38" t="s">
        <v>20</v>
      </c>
      <c r="D8" s="38" t="s">
        <v>244</v>
      </c>
      <c r="F8" s="38" t="s">
        <v>341</v>
      </c>
      <c r="G8" s="38" t="s">
        <v>943</v>
      </c>
      <c r="H8" s="38" t="s">
        <v>1298</v>
      </c>
      <c r="I8" s="38" t="s">
        <v>20</v>
      </c>
      <c r="J8" s="38" t="s">
        <v>12</v>
      </c>
      <c r="K8" s="38" t="s">
        <v>1299</v>
      </c>
    </row>
    <row r="9" spans="1:12">
      <c r="A9" s="39" t="s">
        <v>55</v>
      </c>
      <c r="D9" s="38" t="s">
        <v>271</v>
      </c>
      <c r="F9" s="40" t="s">
        <v>357</v>
      </c>
      <c r="G9" s="38" t="s">
        <v>964</v>
      </c>
      <c r="J9" s="38" t="s">
        <v>1299</v>
      </c>
      <c r="K9" s="38" t="s">
        <v>1300</v>
      </c>
    </row>
    <row r="10" spans="1:12">
      <c r="A10" s="38" t="s">
        <v>1000</v>
      </c>
      <c r="D10" s="38" t="s">
        <v>283</v>
      </c>
      <c r="F10" s="38" t="s">
        <v>939</v>
      </c>
      <c r="J10" s="38" t="s">
        <v>1300</v>
      </c>
      <c r="K10" s="39" t="s">
        <v>1301</v>
      </c>
    </row>
    <row r="11" spans="1:12">
      <c r="A11" s="39" t="s">
        <v>1302</v>
      </c>
      <c r="D11" s="38" t="s">
        <v>33</v>
      </c>
      <c r="F11" s="38" t="s">
        <v>944</v>
      </c>
      <c r="J11" s="39" t="s">
        <v>1301</v>
      </c>
      <c r="K11" s="38" t="s">
        <v>1303</v>
      </c>
    </row>
    <row r="12" spans="1:12">
      <c r="A12" s="39" t="s">
        <v>252</v>
      </c>
      <c r="D12" s="38" t="s">
        <v>1304</v>
      </c>
      <c r="F12" s="38" t="s">
        <v>965</v>
      </c>
      <c r="J12" s="39"/>
    </row>
    <row r="13" spans="1:12">
      <c r="A13" s="39" t="s">
        <v>1305</v>
      </c>
      <c r="F13" s="38" t="s">
        <v>1306</v>
      </c>
    </row>
    <row r="14" spans="1:12">
      <c r="A14" s="38" t="s">
        <v>1036</v>
      </c>
      <c r="F14" s="36"/>
    </row>
    <row r="15" spans="1:12">
      <c r="A15" s="38" t="s">
        <v>1049</v>
      </c>
    </row>
    <row r="16" spans="1:12">
      <c r="A16" s="38" t="s">
        <v>1105</v>
      </c>
      <c r="G16" s="39"/>
      <c r="I16" s="20"/>
      <c r="J16" s="20"/>
      <c r="K16" s="19"/>
      <c r="L16" s="20"/>
    </row>
    <row r="17" spans="1:16">
      <c r="A17" s="39" t="s">
        <v>270</v>
      </c>
      <c r="G17" s="39"/>
      <c r="I17" s="3"/>
      <c r="J17" s="3"/>
      <c r="K17"/>
      <c r="L17" s="3"/>
    </row>
    <row r="18" spans="1:16">
      <c r="A18" s="38" t="s">
        <v>327</v>
      </c>
      <c r="G18" s="39"/>
      <c r="I18" s="3"/>
      <c r="J18" s="3"/>
      <c r="K18"/>
      <c r="L18" s="3"/>
    </row>
    <row r="19" spans="1:16">
      <c r="A19" s="38" t="s">
        <v>1307</v>
      </c>
      <c r="G19" s="39"/>
      <c r="I19" s="3"/>
      <c r="J19" s="3"/>
      <c r="K19"/>
      <c r="L19" s="3"/>
    </row>
    <row r="20" spans="1:16">
      <c r="A20" s="38" t="s">
        <v>1308</v>
      </c>
      <c r="I20" s="3"/>
      <c r="J20" s="3"/>
      <c r="K20"/>
      <c r="L20" s="3"/>
    </row>
    <row r="21" spans="1:16">
      <c r="A21" s="38" t="s">
        <v>1309</v>
      </c>
      <c r="I21" s="3"/>
      <c r="J21" s="3"/>
      <c r="K21"/>
      <c r="L21" s="3"/>
    </row>
    <row r="22" spans="1:16">
      <c r="A22" s="38" t="s">
        <v>1310</v>
      </c>
      <c r="C22" s="35" t="s">
        <v>224</v>
      </c>
      <c r="D22" s="35" t="s">
        <v>43</v>
      </c>
      <c r="E22" s="35" t="s">
        <v>1311</v>
      </c>
      <c r="F22" s="35"/>
      <c r="I22" s="3"/>
      <c r="J22" s="3"/>
      <c r="K22"/>
      <c r="L22" s="3"/>
    </row>
    <row r="23" spans="1:16">
      <c r="A23" s="38" t="s">
        <v>1312</v>
      </c>
      <c r="C23" s="38" t="s">
        <v>436</v>
      </c>
      <c r="D23" s="38" t="s">
        <v>102</v>
      </c>
      <c r="E23" s="38" t="s">
        <v>1313</v>
      </c>
    </row>
    <row r="24" spans="1:16">
      <c r="A24" s="38" t="s">
        <v>340</v>
      </c>
      <c r="C24" s="38" t="s">
        <v>459</v>
      </c>
      <c r="D24" s="38" t="s">
        <v>25</v>
      </c>
      <c r="E24" s="38" t="s">
        <v>1314</v>
      </c>
    </row>
    <row r="25" spans="1:16">
      <c r="A25" s="38" t="s">
        <v>1186</v>
      </c>
      <c r="C25" s="38" t="s">
        <v>451</v>
      </c>
      <c r="D25" s="38" t="s">
        <v>452</v>
      </c>
      <c r="E25" s="38" t="s">
        <v>1315</v>
      </c>
    </row>
    <row r="26" spans="1:16">
      <c r="A26" s="39" t="s">
        <v>1210</v>
      </c>
      <c r="C26" s="38" t="s">
        <v>448</v>
      </c>
      <c r="D26" s="38" t="s">
        <v>67</v>
      </c>
      <c r="E26" s="38" t="s">
        <v>1316</v>
      </c>
      <c r="N26" s="38" t="s">
        <v>1317</v>
      </c>
      <c r="P26" s="38" t="s">
        <v>1318</v>
      </c>
    </row>
    <row r="27" spans="1:16">
      <c r="A27" s="38" t="s">
        <v>1230</v>
      </c>
      <c r="C27" s="38" t="s">
        <v>1296</v>
      </c>
      <c r="D27" s="38" t="s">
        <v>239</v>
      </c>
      <c r="E27" s="38" t="s">
        <v>1319</v>
      </c>
    </row>
    <row r="28" spans="1:16">
      <c r="A28" s="39" t="s">
        <v>1038</v>
      </c>
      <c r="C28" s="38" t="s">
        <v>541</v>
      </c>
      <c r="D28" s="38" t="s">
        <v>22</v>
      </c>
      <c r="E28" s="38" t="s">
        <v>1320</v>
      </c>
    </row>
    <row r="29" spans="1:16">
      <c r="A29" s="38" t="s">
        <v>1263</v>
      </c>
      <c r="N29" s="38" t="s">
        <v>1321</v>
      </c>
      <c r="P29" s="38" t="s">
        <v>1322</v>
      </c>
    </row>
    <row r="30" spans="1:16">
      <c r="A30" s="38" t="s">
        <v>156</v>
      </c>
    </row>
    <row r="31" spans="1:16" ht="20.45" customHeight="1">
      <c r="A31" s="38" t="s">
        <v>1323</v>
      </c>
    </row>
    <row r="32" spans="1:16">
      <c r="A32" s="38" t="s">
        <v>964</v>
      </c>
    </row>
    <row r="33" spans="1:16">
      <c r="A33" s="38" t="s">
        <v>1324</v>
      </c>
    </row>
    <row r="34" spans="1:16">
      <c r="N34" s="38" t="s">
        <v>1325</v>
      </c>
      <c r="P34" s="38" t="s">
        <v>1326</v>
      </c>
    </row>
    <row r="35" spans="1:16" ht="20.45" customHeight="1"/>
    <row r="37" spans="1:16">
      <c r="N37" s="38" t="s">
        <v>1327</v>
      </c>
      <c r="P37" s="38" t="s">
        <v>1328</v>
      </c>
    </row>
    <row r="40" spans="1:16" ht="20.45" customHeight="1">
      <c r="A40" s="39"/>
    </row>
    <row r="41" spans="1:16">
      <c r="F41" s="20" t="s">
        <v>634</v>
      </c>
      <c r="G41" s="20" t="s">
        <v>1329</v>
      </c>
      <c r="H41" s="19" t="s">
        <v>1330</v>
      </c>
    </row>
    <row r="42" spans="1:16" ht="43.5">
      <c r="F42" s="20" t="s">
        <v>605</v>
      </c>
      <c r="G42" s="3" t="s">
        <v>1331</v>
      </c>
      <c r="H42" t="s">
        <v>230</v>
      </c>
      <c r="N42" s="38" t="s">
        <v>1332</v>
      </c>
    </row>
    <row r="43" spans="1:16" ht="20.45" customHeight="1">
      <c r="F43" s="20" t="s">
        <v>607</v>
      </c>
      <c r="G43" s="3" t="s">
        <v>1333</v>
      </c>
      <c r="H43" t="s">
        <v>230</v>
      </c>
    </row>
    <row r="44" spans="1:16" ht="43.5">
      <c r="F44" s="20" t="s">
        <v>1334</v>
      </c>
      <c r="G44" s="3" t="s">
        <v>1335</v>
      </c>
      <c r="H44" t="s">
        <v>230</v>
      </c>
    </row>
    <row r="45" spans="1:16" ht="57.95">
      <c r="F45" s="20" t="s">
        <v>611</v>
      </c>
      <c r="G45" s="3" t="s">
        <v>1336</v>
      </c>
      <c r="H45" t="s">
        <v>230</v>
      </c>
    </row>
    <row r="46" spans="1:16" ht="43.5">
      <c r="F46" s="20" t="s">
        <v>613</v>
      </c>
      <c r="G46" s="3" t="s">
        <v>1337</v>
      </c>
      <c r="H46" t="s">
        <v>230</v>
      </c>
    </row>
    <row r="47" spans="1:16" ht="29.1">
      <c r="F47" s="20" t="s">
        <v>615</v>
      </c>
      <c r="G47" s="3" t="s">
        <v>1338</v>
      </c>
      <c r="H47" t="s">
        <v>230</v>
      </c>
    </row>
    <row r="48" spans="1:16" ht="57.95">
      <c r="F48" s="20" t="s">
        <v>617</v>
      </c>
      <c r="G48" s="3" t="s">
        <v>1339</v>
      </c>
      <c r="H48" t="s">
        <v>230</v>
      </c>
    </row>
    <row r="49" spans="4:10" ht="43.5">
      <c r="D49" s="38" t="s">
        <v>1340</v>
      </c>
      <c r="F49" s="20" t="s">
        <v>619</v>
      </c>
      <c r="G49" s="3" t="s">
        <v>1341</v>
      </c>
      <c r="H49" t="s">
        <v>230</v>
      </c>
    </row>
    <row r="50" spans="4:10" ht="43.5">
      <c r="D50" s="38" t="s">
        <v>1342</v>
      </c>
      <c r="F50" s="20" t="s">
        <v>621</v>
      </c>
      <c r="G50" s="3" t="s">
        <v>1343</v>
      </c>
      <c r="H50"/>
    </row>
    <row r="51" spans="4:10">
      <c r="D51" s="38" t="s">
        <v>1344</v>
      </c>
    </row>
    <row r="52" spans="4:10" ht="57.95">
      <c r="D52" s="38" t="s">
        <v>1345</v>
      </c>
      <c r="G52" s="55" t="s">
        <v>1346</v>
      </c>
      <c r="I52" s="20" t="s">
        <v>1347</v>
      </c>
      <c r="J52" s="3" t="s">
        <v>1348</v>
      </c>
    </row>
    <row r="53" spans="4:10" ht="57.95">
      <c r="G53" s="55" t="s">
        <v>1349</v>
      </c>
      <c r="I53" s="20" t="s">
        <v>1350</v>
      </c>
      <c r="J53" s="3" t="s">
        <v>1351</v>
      </c>
    </row>
    <row r="54" spans="4:10" ht="57.95">
      <c r="G54" s="55" t="s">
        <v>1352</v>
      </c>
      <c r="I54" s="20" t="s">
        <v>1353</v>
      </c>
      <c r="J54" s="3" t="s">
        <v>1354</v>
      </c>
    </row>
    <row r="55" spans="4:10" ht="48">
      <c r="G55" s="55" t="s">
        <v>24</v>
      </c>
      <c r="I55" s="20" t="s">
        <v>1355</v>
      </c>
      <c r="J55" s="3" t="s">
        <v>1356</v>
      </c>
    </row>
    <row r="56" spans="4:10" ht="48">
      <c r="G56" s="55" t="s">
        <v>1357</v>
      </c>
      <c r="I56" s="20" t="s">
        <v>1358</v>
      </c>
      <c r="J56" s="3" t="s">
        <v>1359</v>
      </c>
    </row>
    <row r="57" spans="4:10" ht="43.5">
      <c r="G57" s="55" t="s">
        <v>28</v>
      </c>
      <c r="I57" s="20" t="s">
        <v>1360</v>
      </c>
      <c r="J57" s="3" t="s">
        <v>1361</v>
      </c>
    </row>
    <row r="58" spans="4:10" ht="43.5">
      <c r="G58" s="55" t="s">
        <v>1362</v>
      </c>
      <c r="I58" s="20" t="s">
        <v>1363</v>
      </c>
      <c r="J58" s="3" t="s">
        <v>1364</v>
      </c>
    </row>
    <row r="59" spans="4:10" ht="43.5">
      <c r="G59" s="55" t="s">
        <v>1365</v>
      </c>
      <c r="I59" s="20" t="s">
        <v>1366</v>
      </c>
      <c r="J59" s="3" t="s">
        <v>1367</v>
      </c>
    </row>
    <row r="60" spans="4:10" ht="57.95">
      <c r="G60" s="55" t="s">
        <v>37</v>
      </c>
      <c r="I60" s="20" t="s">
        <v>1368</v>
      </c>
      <c r="J60" s="3" t="s">
        <v>991</v>
      </c>
    </row>
  </sheetData>
  <sortState xmlns:xlrd2="http://schemas.microsoft.com/office/spreadsheetml/2017/richdata2" ref="A3:A39">
    <sortCondition ref="A2:A39"/>
  </sortState>
  <conditionalFormatting sqref="G52:G60">
    <cfRule type="colorScale" priority="1">
      <colorScale>
        <cfvo type="min"/>
        <cfvo type="percentile" val="50"/>
        <cfvo type="max"/>
        <color theme="4"/>
        <color rgb="FF7030A0"/>
        <color rgb="FF63BE7B"/>
      </colorScale>
    </cfRule>
  </conditionalFormatting>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384F6-1B5D-4CB4-9CF5-2DF50C3BBC48}">
  <sheetPr>
    <tabColor theme="8"/>
  </sheetPr>
  <dimension ref="A1:O63"/>
  <sheetViews>
    <sheetView topLeftCell="E16" zoomScale="145" zoomScaleNormal="145" workbookViewId="0">
      <selection activeCell="F12" sqref="F12"/>
    </sheetView>
  </sheetViews>
  <sheetFormatPr defaultColWidth="8.85546875" defaultRowHeight="14.45"/>
  <cols>
    <col min="1" max="1" width="36.42578125" bestFit="1" customWidth="1"/>
    <col min="2" max="2" width="44.140625" customWidth="1"/>
    <col min="5" max="5" width="26.85546875" customWidth="1"/>
    <col min="6" max="7" width="24.42578125" customWidth="1"/>
    <col min="8" max="8" width="26.42578125" customWidth="1"/>
    <col min="9" max="9" width="16.42578125" hidden="1" customWidth="1"/>
    <col min="10" max="10" width="14.28515625" hidden="1" customWidth="1"/>
    <col min="11" max="11" width="18.7109375" customWidth="1"/>
    <col min="12" max="12" width="30.85546875" customWidth="1"/>
  </cols>
  <sheetData>
    <row r="1" spans="1:15">
      <c r="A1" s="20" t="s">
        <v>0</v>
      </c>
      <c r="B1" s="20" t="s">
        <v>429</v>
      </c>
      <c r="E1" s="42"/>
      <c r="F1" s="41"/>
      <c r="G1" s="42"/>
      <c r="H1" s="45"/>
      <c r="I1" s="42"/>
      <c r="J1" s="42"/>
      <c r="K1" s="42"/>
      <c r="L1" s="42"/>
    </row>
    <row r="2" spans="1:15" ht="87">
      <c r="A2" s="20" t="s">
        <v>1369</v>
      </c>
      <c r="B2" s="3" t="s">
        <v>339</v>
      </c>
      <c r="E2" s="44"/>
      <c r="F2" s="43"/>
      <c r="G2" s="44"/>
      <c r="H2" s="46"/>
      <c r="I2" s="46"/>
      <c r="J2" s="44"/>
      <c r="K2" s="44"/>
      <c r="L2" s="44"/>
      <c r="N2" s="48" t="s">
        <v>1370</v>
      </c>
      <c r="O2" s="48" t="s">
        <v>1371</v>
      </c>
    </row>
    <row r="3" spans="1:15" ht="72.599999999999994">
      <c r="A3" s="20" t="s">
        <v>1372</v>
      </c>
      <c r="B3" s="3" t="s">
        <v>343</v>
      </c>
      <c r="E3" s="44"/>
      <c r="F3" s="43"/>
      <c r="G3" s="44"/>
      <c r="H3" s="46"/>
      <c r="I3" s="46"/>
      <c r="J3" s="44"/>
      <c r="K3" s="44"/>
      <c r="L3" s="44"/>
    </row>
    <row r="4" spans="1:15" ht="72.599999999999994">
      <c r="A4" s="20" t="s">
        <v>344</v>
      </c>
      <c r="B4" s="3" t="s">
        <v>345</v>
      </c>
      <c r="E4" s="56" t="s">
        <v>340</v>
      </c>
      <c r="F4" s="57" t="s">
        <v>1373</v>
      </c>
      <c r="G4" s="56" t="s">
        <v>1374</v>
      </c>
      <c r="H4" s="56" t="s">
        <v>1375</v>
      </c>
      <c r="I4" s="56" t="s">
        <v>1376</v>
      </c>
      <c r="J4" s="57" t="s">
        <v>1377</v>
      </c>
      <c r="K4" s="44"/>
      <c r="L4" s="44"/>
    </row>
    <row r="5" spans="1:15" ht="72.599999999999994">
      <c r="A5" s="20" t="s">
        <v>1378</v>
      </c>
      <c r="B5" s="3" t="s">
        <v>347</v>
      </c>
      <c r="E5" s="56" t="s">
        <v>340</v>
      </c>
      <c r="F5" s="57" t="s">
        <v>1379</v>
      </c>
      <c r="G5" s="58" t="s">
        <v>1380</v>
      </c>
      <c r="H5" s="56" t="s">
        <v>1381</v>
      </c>
      <c r="I5" s="56" t="s">
        <v>1376</v>
      </c>
      <c r="J5" s="57" t="s">
        <v>1382</v>
      </c>
      <c r="K5" s="44"/>
      <c r="L5" s="44"/>
    </row>
    <row r="6" spans="1:15" ht="87">
      <c r="A6" s="20" t="s">
        <v>349</v>
      </c>
      <c r="B6" s="3" t="s">
        <v>350</v>
      </c>
      <c r="E6" s="56" t="s">
        <v>379</v>
      </c>
      <c r="F6" s="57" t="s">
        <v>1383</v>
      </c>
      <c r="G6" s="56" t="s">
        <v>1374</v>
      </c>
      <c r="H6" s="56" t="s">
        <v>1384</v>
      </c>
      <c r="I6" s="56" t="s">
        <v>1385</v>
      </c>
      <c r="J6" s="57" t="s">
        <v>1386</v>
      </c>
      <c r="K6" s="44"/>
      <c r="L6" s="44"/>
    </row>
    <row r="7" spans="1:15" ht="72.599999999999994">
      <c r="A7" s="20" t="s">
        <v>1387</v>
      </c>
      <c r="B7" s="3" t="s">
        <v>352</v>
      </c>
      <c r="E7" s="56" t="s">
        <v>1388</v>
      </c>
      <c r="F7" s="57" t="s">
        <v>1389</v>
      </c>
      <c r="G7" s="56" t="s">
        <v>1374</v>
      </c>
      <c r="H7" s="56" t="s">
        <v>1390</v>
      </c>
      <c r="I7" s="56" t="s">
        <v>1391</v>
      </c>
      <c r="J7" s="59" t="s">
        <v>1392</v>
      </c>
      <c r="K7" s="44"/>
      <c r="L7" s="44"/>
    </row>
    <row r="8" spans="1:15" ht="87">
      <c r="A8" s="20" t="s">
        <v>1393</v>
      </c>
      <c r="B8" s="3" t="s">
        <v>354</v>
      </c>
      <c r="E8" s="56" t="s">
        <v>1388</v>
      </c>
      <c r="F8" s="57" t="s">
        <v>1394</v>
      </c>
      <c r="G8" s="56" t="s">
        <v>1374</v>
      </c>
      <c r="H8" s="56" t="s">
        <v>1395</v>
      </c>
      <c r="I8" s="56" t="s">
        <v>1396</v>
      </c>
      <c r="J8" s="57" t="s">
        <v>1397</v>
      </c>
      <c r="K8" s="44"/>
      <c r="L8" s="44"/>
    </row>
    <row r="9" spans="1:15" ht="57.95">
      <c r="A9" s="20" t="s">
        <v>355</v>
      </c>
      <c r="B9" s="3" t="s">
        <v>356</v>
      </c>
      <c r="E9" s="56" t="s">
        <v>1398</v>
      </c>
      <c r="F9" s="57" t="s">
        <v>1399</v>
      </c>
      <c r="G9" s="56" t="s">
        <v>1374</v>
      </c>
      <c r="H9" s="56" t="s">
        <v>1395</v>
      </c>
      <c r="I9" s="56" t="s">
        <v>1400</v>
      </c>
      <c r="J9" s="57" t="s">
        <v>1401</v>
      </c>
      <c r="K9" s="44"/>
      <c r="L9" s="44"/>
    </row>
    <row r="10" spans="1:15" ht="57.95">
      <c r="A10" s="20" t="s">
        <v>358</v>
      </c>
      <c r="B10" s="3" t="s">
        <v>359</v>
      </c>
      <c r="E10" s="56" t="s">
        <v>1402</v>
      </c>
      <c r="F10" s="57" t="s">
        <v>1403</v>
      </c>
      <c r="G10" s="56" t="s">
        <v>1374</v>
      </c>
      <c r="H10" s="56" t="s">
        <v>1404</v>
      </c>
      <c r="I10" s="56" t="s">
        <v>1405</v>
      </c>
      <c r="J10" s="57" t="s">
        <v>1406</v>
      </c>
      <c r="K10" s="44"/>
      <c r="L10" s="44"/>
    </row>
    <row r="11" spans="1:15" ht="57.95">
      <c r="A11" s="20" t="s">
        <v>360</v>
      </c>
      <c r="B11" s="3" t="s">
        <v>361</v>
      </c>
      <c r="E11" s="56" t="s">
        <v>1407</v>
      </c>
      <c r="F11" s="57" t="s">
        <v>1408</v>
      </c>
      <c r="G11" s="56" t="s">
        <v>1380</v>
      </c>
      <c r="H11" s="56" t="s">
        <v>1409</v>
      </c>
      <c r="I11" s="56" t="s">
        <v>1410</v>
      </c>
      <c r="K11" s="44"/>
      <c r="L11" s="44"/>
    </row>
    <row r="12" spans="1:15" ht="116.1">
      <c r="A12" s="20" t="s">
        <v>1411</v>
      </c>
      <c r="B12" s="3" t="s">
        <v>363</v>
      </c>
      <c r="E12" s="44"/>
      <c r="F12" s="43"/>
      <c r="G12" s="44"/>
      <c r="H12" s="46"/>
      <c r="I12" s="46"/>
      <c r="J12" s="44"/>
      <c r="K12" s="44"/>
      <c r="L12" s="44"/>
    </row>
    <row r="13" spans="1:15" ht="101.45">
      <c r="A13" s="20" t="s">
        <v>365</v>
      </c>
      <c r="B13" s="3" t="s">
        <v>366</v>
      </c>
      <c r="E13" s="56" t="s">
        <v>1412</v>
      </c>
      <c r="F13" s="57" t="s">
        <v>1413</v>
      </c>
      <c r="G13" s="56" t="s">
        <v>1374</v>
      </c>
      <c r="H13" s="56" t="s">
        <v>1414</v>
      </c>
      <c r="I13" s="56" t="s">
        <v>1415</v>
      </c>
      <c r="J13" s="57" t="s">
        <v>1416</v>
      </c>
      <c r="K13" s="44"/>
      <c r="L13" s="44"/>
    </row>
    <row r="14" spans="1:15" ht="116.1">
      <c r="A14" s="20" t="s">
        <v>1417</v>
      </c>
      <c r="B14" s="3" t="s">
        <v>368</v>
      </c>
      <c r="E14" s="56" t="s">
        <v>1418</v>
      </c>
      <c r="F14" s="57" t="s">
        <v>1419</v>
      </c>
      <c r="G14" s="58" t="s">
        <v>1374</v>
      </c>
      <c r="H14" s="56" t="s">
        <v>1414</v>
      </c>
      <c r="I14" s="56" t="s">
        <v>1420</v>
      </c>
      <c r="J14" s="57" t="s">
        <v>1421</v>
      </c>
      <c r="L14" s="44"/>
    </row>
    <row r="15" spans="1:15" ht="52.5">
      <c r="E15" s="56" t="s">
        <v>1422</v>
      </c>
      <c r="F15" s="57" t="s">
        <v>1423</v>
      </c>
      <c r="G15" s="56" t="s">
        <v>1374</v>
      </c>
      <c r="H15" s="56" t="s">
        <v>1424</v>
      </c>
      <c r="I15" s="56" t="s">
        <v>1425</v>
      </c>
      <c r="J15" s="57" t="s">
        <v>1426</v>
      </c>
      <c r="L15" s="44"/>
    </row>
    <row r="16" spans="1:15" ht="42">
      <c r="E16" s="56" t="s">
        <v>1427</v>
      </c>
      <c r="F16" s="57" t="s">
        <v>1428</v>
      </c>
      <c r="G16" s="56" t="s">
        <v>1374</v>
      </c>
      <c r="H16" s="56" t="s">
        <v>1429</v>
      </c>
      <c r="I16" s="56" t="s">
        <v>1430</v>
      </c>
      <c r="J16" s="57" t="s">
        <v>1431</v>
      </c>
    </row>
    <row r="17" spans="1:12" ht="42">
      <c r="E17" s="56" t="s">
        <v>1432</v>
      </c>
      <c r="F17" s="57" t="s">
        <v>1433</v>
      </c>
      <c r="G17" s="56" t="s">
        <v>1374</v>
      </c>
      <c r="H17" s="56" t="s">
        <v>1384</v>
      </c>
      <c r="I17" s="56" t="s">
        <v>1434</v>
      </c>
      <c r="J17" s="57" t="s">
        <v>1435</v>
      </c>
    </row>
    <row r="18" spans="1:12" ht="52.5">
      <c r="B18" s="47"/>
      <c r="C18" s="47"/>
      <c r="D18" s="47"/>
      <c r="E18" s="56" t="s">
        <v>1436</v>
      </c>
      <c r="F18" s="57" t="s">
        <v>1437</v>
      </c>
      <c r="G18" s="56" t="s">
        <v>1374</v>
      </c>
      <c r="H18" s="56" t="s">
        <v>1438</v>
      </c>
      <c r="I18" s="56" t="s">
        <v>1439</v>
      </c>
      <c r="J18" s="57" t="s">
        <v>1440</v>
      </c>
      <c r="K18" s="42"/>
    </row>
    <row r="19" spans="1:12" ht="31.5">
      <c r="B19" s="16"/>
      <c r="C19" s="16"/>
      <c r="D19" s="16"/>
      <c r="E19" s="56" t="s">
        <v>1441</v>
      </c>
      <c r="F19" s="57" t="s">
        <v>1442</v>
      </c>
      <c r="G19" s="56" t="s">
        <v>1374</v>
      </c>
      <c r="H19" s="56" t="s">
        <v>1443</v>
      </c>
      <c r="I19" s="56" t="s">
        <v>1444</v>
      </c>
      <c r="J19" s="57" t="s">
        <v>1445</v>
      </c>
      <c r="K19" s="44"/>
      <c r="L19" s="49"/>
    </row>
    <row r="20" spans="1:12" ht="31.5">
      <c r="B20" s="16"/>
      <c r="C20" s="16"/>
      <c r="D20" s="16"/>
      <c r="E20" s="56" t="s">
        <v>1446</v>
      </c>
      <c r="F20" s="57" t="s">
        <v>1447</v>
      </c>
      <c r="G20" s="56" t="s">
        <v>1380</v>
      </c>
      <c r="H20" s="56" t="s">
        <v>1448</v>
      </c>
      <c r="I20" s="56" t="s">
        <v>1449</v>
      </c>
      <c r="J20" s="57" t="s">
        <v>1450</v>
      </c>
      <c r="K20" s="44"/>
    </row>
    <row r="21" spans="1:12" ht="52.5">
      <c r="B21" s="16"/>
      <c r="C21" s="16"/>
      <c r="D21" s="16"/>
      <c r="E21" s="56" t="s">
        <v>1451</v>
      </c>
      <c r="F21" s="57" t="s">
        <v>1452</v>
      </c>
      <c r="G21" s="56" t="s">
        <v>1380</v>
      </c>
      <c r="H21" s="56" t="s">
        <v>1453</v>
      </c>
      <c r="I21" s="56" t="s">
        <v>1454</v>
      </c>
      <c r="J21" s="57" t="s">
        <v>1455</v>
      </c>
      <c r="K21" s="44"/>
    </row>
    <row r="22" spans="1:12" ht="52.5">
      <c r="E22" s="56" t="s">
        <v>1456</v>
      </c>
      <c r="F22" s="57" t="s">
        <v>1457</v>
      </c>
      <c r="G22" s="56" t="s">
        <v>1380</v>
      </c>
      <c r="H22" s="56" t="s">
        <v>1458</v>
      </c>
      <c r="I22" s="56" t="s">
        <v>1459</v>
      </c>
      <c r="J22" s="57" t="s">
        <v>1460</v>
      </c>
      <c r="K22" s="44"/>
    </row>
    <row r="23" spans="1:12" ht="42">
      <c r="E23" s="56" t="s">
        <v>1461</v>
      </c>
      <c r="F23" s="57" t="s">
        <v>1462</v>
      </c>
      <c r="G23" s="56" t="s">
        <v>1380</v>
      </c>
      <c r="H23" s="56" t="s">
        <v>1463</v>
      </c>
      <c r="I23" s="56" t="s">
        <v>1464</v>
      </c>
      <c r="J23" s="57" t="s">
        <v>1465</v>
      </c>
      <c r="K23" s="44"/>
    </row>
    <row r="24" spans="1:12">
      <c r="E24" s="52"/>
      <c r="F24" s="43"/>
      <c r="G24" s="46"/>
      <c r="H24" s="46"/>
      <c r="I24" s="44"/>
      <c r="J24" s="44"/>
      <c r="K24" s="44"/>
    </row>
    <row r="25" spans="1:12" ht="15" thickBot="1">
      <c r="E25" s="52"/>
      <c r="F25" s="43"/>
      <c r="G25" s="46"/>
      <c r="H25" s="46"/>
      <c r="I25" s="44"/>
      <c r="J25" s="44"/>
      <c r="K25" s="44"/>
    </row>
    <row r="26" spans="1:12" ht="15" thickBot="1">
      <c r="E26" s="52"/>
      <c r="F26" s="43"/>
      <c r="G26" s="46"/>
      <c r="H26" s="46"/>
      <c r="I26" s="44"/>
      <c r="J26" s="44"/>
      <c r="K26" s="44"/>
    </row>
    <row r="27" spans="1:12" ht="15" thickBot="1">
      <c r="E27" s="52"/>
      <c r="F27" s="43"/>
      <c r="G27" s="46"/>
      <c r="H27" s="46"/>
      <c r="I27" s="44"/>
      <c r="J27" s="44"/>
      <c r="K27" s="44"/>
    </row>
    <row r="28" spans="1:12" ht="15" thickBot="1">
      <c r="E28" s="52"/>
      <c r="F28" s="43"/>
      <c r="G28" s="46"/>
      <c r="H28" s="46"/>
      <c r="I28" s="44"/>
      <c r="J28" s="44"/>
      <c r="K28" s="44"/>
    </row>
    <row r="29" spans="1:12" ht="15" thickBot="1">
      <c r="E29" s="52"/>
      <c r="F29" s="43"/>
      <c r="G29" s="46"/>
      <c r="H29" s="46"/>
      <c r="I29" s="44"/>
      <c r="J29" s="44"/>
      <c r="K29" s="44"/>
    </row>
    <row r="30" spans="1:12" ht="15" thickBot="1">
      <c r="A30" s="20" t="s">
        <v>0</v>
      </c>
      <c r="B30" s="20" t="s">
        <v>429</v>
      </c>
      <c r="E30" s="52"/>
      <c r="F30" s="43"/>
      <c r="G30" s="46"/>
      <c r="H30" s="46"/>
      <c r="I30" s="44"/>
      <c r="J30" s="44"/>
      <c r="K30" s="44"/>
    </row>
    <row r="31" spans="1:12" ht="87">
      <c r="A31" s="20" t="s">
        <v>1466</v>
      </c>
      <c r="B31" s="3" t="s">
        <v>1467</v>
      </c>
      <c r="E31" s="49"/>
      <c r="F31" s="50"/>
      <c r="G31" s="51"/>
      <c r="K31" s="44"/>
    </row>
    <row r="32" spans="1:12" ht="87">
      <c r="A32" s="20" t="s">
        <v>1468</v>
      </c>
      <c r="B32" s="3" t="s">
        <v>1469</v>
      </c>
      <c r="E32" s="20" t="s">
        <v>634</v>
      </c>
      <c r="F32" s="20" t="s">
        <v>1329</v>
      </c>
      <c r="G32" s="20" t="s">
        <v>1</v>
      </c>
      <c r="H32" s="19" t="s">
        <v>8</v>
      </c>
      <c r="I32" s="19" t="s">
        <v>6</v>
      </c>
      <c r="J32" s="19" t="s">
        <v>7</v>
      </c>
    </row>
    <row r="33" spans="1:10" ht="87">
      <c r="A33" s="20" t="s">
        <v>1403</v>
      </c>
      <c r="B33" s="3" t="s">
        <v>1470</v>
      </c>
      <c r="E33" s="20" t="s">
        <v>1471</v>
      </c>
      <c r="F33" s="3" t="s">
        <v>1472</v>
      </c>
      <c r="G33" s="3" t="s">
        <v>1473</v>
      </c>
      <c r="H33" t="s">
        <v>1474</v>
      </c>
      <c r="I33" t="s">
        <v>1474</v>
      </c>
      <c r="J33" t="s">
        <v>1474</v>
      </c>
    </row>
    <row r="34" spans="1:10" ht="57.95">
      <c r="E34" s="20" t="s">
        <v>1475</v>
      </c>
      <c r="F34" s="3" t="s">
        <v>1476</v>
      </c>
      <c r="G34" s="3" t="s">
        <v>1477</v>
      </c>
      <c r="H34" t="s">
        <v>1474</v>
      </c>
      <c r="I34" t="s">
        <v>1474</v>
      </c>
      <c r="J34" t="s">
        <v>1474</v>
      </c>
    </row>
    <row r="35" spans="1:10" ht="57.95">
      <c r="E35" s="20" t="s">
        <v>1478</v>
      </c>
      <c r="F35" s="3" t="s">
        <v>1479</v>
      </c>
      <c r="G35" s="3" t="s">
        <v>1480</v>
      </c>
      <c r="H35" t="s">
        <v>1474</v>
      </c>
      <c r="I35" t="s">
        <v>1474</v>
      </c>
      <c r="J35" t="s">
        <v>1474</v>
      </c>
    </row>
    <row r="36" spans="1:10" ht="87">
      <c r="E36" s="20" t="s">
        <v>1481</v>
      </c>
      <c r="F36" s="3" t="s">
        <v>1482</v>
      </c>
      <c r="G36" s="3" t="s">
        <v>1477</v>
      </c>
      <c r="H36" t="s">
        <v>1474</v>
      </c>
      <c r="I36" t="s">
        <v>1474</v>
      </c>
      <c r="J36" t="s">
        <v>1474</v>
      </c>
    </row>
    <row r="37" spans="1:10" ht="72.599999999999994">
      <c r="E37" s="20" t="s">
        <v>1483</v>
      </c>
      <c r="F37" s="3" t="s">
        <v>1484</v>
      </c>
      <c r="G37" s="3" t="s">
        <v>1485</v>
      </c>
      <c r="H37" t="s">
        <v>1474</v>
      </c>
      <c r="I37" t="s">
        <v>1474</v>
      </c>
      <c r="J37" t="s">
        <v>1474</v>
      </c>
    </row>
    <row r="38" spans="1:10" ht="87">
      <c r="E38" s="20" t="s">
        <v>1486</v>
      </c>
      <c r="F38" s="3" t="s">
        <v>1487</v>
      </c>
      <c r="G38" s="3" t="s">
        <v>1477</v>
      </c>
      <c r="H38" t="s">
        <v>1474</v>
      </c>
      <c r="I38" t="s">
        <v>1474</v>
      </c>
      <c r="J38" t="s">
        <v>1474</v>
      </c>
    </row>
    <row r="39" spans="1:10" ht="72.599999999999994">
      <c r="E39" s="20" t="s">
        <v>1488</v>
      </c>
      <c r="F39" s="3" t="s">
        <v>1489</v>
      </c>
      <c r="G39" s="3" t="s">
        <v>1490</v>
      </c>
      <c r="H39" t="s">
        <v>1474</v>
      </c>
      <c r="I39" t="s">
        <v>1474</v>
      </c>
      <c r="J39" t="s">
        <v>1474</v>
      </c>
    </row>
    <row r="40" spans="1:10" ht="57.95">
      <c r="E40" s="20" t="s">
        <v>1491</v>
      </c>
      <c r="F40" s="3" t="s">
        <v>1492</v>
      </c>
      <c r="G40" s="3" t="s">
        <v>1493</v>
      </c>
      <c r="H40" t="s">
        <v>1474</v>
      </c>
      <c r="I40" t="s">
        <v>1474</v>
      </c>
      <c r="J40" t="s">
        <v>1474</v>
      </c>
    </row>
    <row r="41" spans="1:10" ht="57.95">
      <c r="E41" s="20" t="s">
        <v>1494</v>
      </c>
      <c r="F41" s="3" t="s">
        <v>1495</v>
      </c>
      <c r="G41" s="3" t="s">
        <v>1496</v>
      </c>
      <c r="H41" t="s">
        <v>1474</v>
      </c>
      <c r="I41" t="s">
        <v>1474</v>
      </c>
      <c r="J41" t="s">
        <v>1474</v>
      </c>
    </row>
    <row r="42" spans="1:10" ht="57.95">
      <c r="E42" s="20" t="s">
        <v>1497</v>
      </c>
      <c r="F42" s="3" t="s">
        <v>1498</v>
      </c>
      <c r="G42" s="3" t="s">
        <v>964</v>
      </c>
      <c r="H42" t="s">
        <v>1474</v>
      </c>
      <c r="I42" t="s">
        <v>1474</v>
      </c>
      <c r="J42" t="s">
        <v>1474</v>
      </c>
    </row>
    <row r="43" spans="1:10" ht="57.95">
      <c r="E43" s="20" t="s">
        <v>1499</v>
      </c>
      <c r="F43" s="3" t="s">
        <v>1500</v>
      </c>
      <c r="G43" s="3" t="s">
        <v>1496</v>
      </c>
      <c r="H43" t="s">
        <v>1474</v>
      </c>
      <c r="I43" t="s">
        <v>1474</v>
      </c>
      <c r="J43" t="s">
        <v>1474</v>
      </c>
    </row>
    <row r="44" spans="1:10" ht="43.5">
      <c r="E44" s="20" t="s">
        <v>1501</v>
      </c>
      <c r="F44" s="3" t="s">
        <v>1502</v>
      </c>
      <c r="G44" s="3" t="s">
        <v>1480</v>
      </c>
      <c r="H44" t="s">
        <v>1474</v>
      </c>
      <c r="I44" t="s">
        <v>1474</v>
      </c>
      <c r="J44" t="s">
        <v>1474</v>
      </c>
    </row>
    <row r="45" spans="1:10" ht="57.95">
      <c r="E45" s="20" t="s">
        <v>1503</v>
      </c>
      <c r="F45" s="3" t="s">
        <v>1504</v>
      </c>
      <c r="G45" s="3" t="s">
        <v>1505</v>
      </c>
      <c r="H45" t="s">
        <v>1474</v>
      </c>
      <c r="I45" t="s">
        <v>1474</v>
      </c>
      <c r="J45" t="s">
        <v>1474</v>
      </c>
    </row>
    <row r="46" spans="1:10" ht="57.95">
      <c r="E46" s="20" t="s">
        <v>1506</v>
      </c>
      <c r="F46" s="3" t="s">
        <v>1507</v>
      </c>
      <c r="G46" s="3" t="s">
        <v>1496</v>
      </c>
      <c r="H46" t="s">
        <v>1474</v>
      </c>
      <c r="I46" t="s">
        <v>1474</v>
      </c>
      <c r="J46" t="s">
        <v>1474</v>
      </c>
    </row>
    <row r="47" spans="1:10" ht="43.5">
      <c r="E47" s="20" t="s">
        <v>1508</v>
      </c>
      <c r="F47" s="3" t="s">
        <v>1509</v>
      </c>
      <c r="G47" s="3" t="s">
        <v>1505</v>
      </c>
      <c r="H47" t="s">
        <v>1474</v>
      </c>
      <c r="I47" t="s">
        <v>1474</v>
      </c>
      <c r="J47" t="s">
        <v>1474</v>
      </c>
    </row>
    <row r="48" spans="1:10" ht="72.599999999999994">
      <c r="E48" s="20" t="s">
        <v>1510</v>
      </c>
      <c r="F48" s="3" t="s">
        <v>1511</v>
      </c>
      <c r="G48" s="3" t="s">
        <v>425</v>
      </c>
      <c r="H48" t="s">
        <v>1474</v>
      </c>
      <c r="I48" t="s">
        <v>1474</v>
      </c>
      <c r="J48" t="s">
        <v>1474</v>
      </c>
    </row>
    <row r="49" spans="5:10" ht="72.599999999999994">
      <c r="E49" s="20" t="s">
        <v>1512</v>
      </c>
      <c r="F49" s="3" t="s">
        <v>1513</v>
      </c>
      <c r="G49" s="3" t="s">
        <v>1514</v>
      </c>
      <c r="H49" t="s">
        <v>1474</v>
      </c>
      <c r="I49" t="s">
        <v>1474</v>
      </c>
      <c r="J49" t="s">
        <v>1474</v>
      </c>
    </row>
    <row r="50" spans="5:10" ht="57.95">
      <c r="E50" s="20" t="s">
        <v>1515</v>
      </c>
      <c r="F50" s="3" t="s">
        <v>1516</v>
      </c>
      <c r="G50" s="3" t="s">
        <v>1517</v>
      </c>
      <c r="H50" t="s">
        <v>1474</v>
      </c>
      <c r="I50" t="s">
        <v>1474</v>
      </c>
      <c r="J50" t="s">
        <v>1474</v>
      </c>
    </row>
    <row r="51" spans="5:10" ht="72.599999999999994">
      <c r="E51" s="20" t="s">
        <v>1518</v>
      </c>
      <c r="F51" s="3" t="s">
        <v>1519</v>
      </c>
      <c r="G51" s="3" t="s">
        <v>1520</v>
      </c>
      <c r="H51" t="s">
        <v>1474</v>
      </c>
      <c r="I51" t="s">
        <v>1474</v>
      </c>
      <c r="J51" t="s">
        <v>1474</v>
      </c>
    </row>
    <row r="52" spans="5:10" ht="57.95">
      <c r="E52" s="20" t="s">
        <v>1521</v>
      </c>
      <c r="F52" s="3" t="s">
        <v>1522</v>
      </c>
      <c r="G52" s="3" t="s">
        <v>425</v>
      </c>
      <c r="H52" t="s">
        <v>1474</v>
      </c>
      <c r="I52" t="s">
        <v>1474</v>
      </c>
      <c r="J52" t="s">
        <v>1474</v>
      </c>
    </row>
    <row r="53" spans="5:10" ht="72.599999999999994">
      <c r="E53" s="20" t="s">
        <v>1523</v>
      </c>
      <c r="F53" s="3" t="s">
        <v>1524</v>
      </c>
      <c r="G53" s="3" t="s">
        <v>327</v>
      </c>
      <c r="H53" t="s">
        <v>1474</v>
      </c>
      <c r="I53" t="s">
        <v>1474</v>
      </c>
      <c r="J53" t="s">
        <v>1474</v>
      </c>
    </row>
    <row r="54" spans="5:10" ht="57.95">
      <c r="E54" s="20" t="s">
        <v>1525</v>
      </c>
      <c r="F54" s="3" t="s">
        <v>1526</v>
      </c>
      <c r="G54" s="3" t="s">
        <v>425</v>
      </c>
      <c r="H54" t="s">
        <v>1474</v>
      </c>
      <c r="I54" t="s">
        <v>1474</v>
      </c>
      <c r="J54" t="s">
        <v>1474</v>
      </c>
    </row>
    <row r="55" spans="5:10" ht="57.95">
      <c r="E55" s="20" t="s">
        <v>1527</v>
      </c>
      <c r="F55" s="3" t="s">
        <v>1528</v>
      </c>
      <c r="G55" s="3" t="s">
        <v>1529</v>
      </c>
      <c r="H55" t="s">
        <v>1474</v>
      </c>
      <c r="I55" t="s">
        <v>1474</v>
      </c>
      <c r="J55" t="s">
        <v>1474</v>
      </c>
    </row>
    <row r="56" spans="5:10" ht="57.95">
      <c r="E56" s="20" t="s">
        <v>1530</v>
      </c>
      <c r="F56" s="3" t="s">
        <v>1531</v>
      </c>
      <c r="G56" s="3" t="s">
        <v>1532</v>
      </c>
      <c r="H56" t="s">
        <v>1474</v>
      </c>
      <c r="I56" t="s">
        <v>1474</v>
      </c>
      <c r="J56" t="s">
        <v>1474</v>
      </c>
    </row>
    <row r="57" spans="5:10" ht="43.5">
      <c r="E57" s="20" t="s">
        <v>1533</v>
      </c>
      <c r="F57" s="3" t="s">
        <v>1534</v>
      </c>
      <c r="G57" s="3" t="s">
        <v>1517</v>
      </c>
      <c r="H57" t="s">
        <v>1474</v>
      </c>
      <c r="I57" t="s">
        <v>1474</v>
      </c>
      <c r="J57" t="s">
        <v>1474</v>
      </c>
    </row>
    <row r="58" spans="5:10" ht="72.599999999999994">
      <c r="E58" s="20" t="s">
        <v>1535</v>
      </c>
      <c r="F58" s="3" t="s">
        <v>1536</v>
      </c>
      <c r="G58" s="3" t="s">
        <v>1496</v>
      </c>
      <c r="H58" t="s">
        <v>1474</v>
      </c>
      <c r="I58" t="s">
        <v>1474</v>
      </c>
      <c r="J58" t="s">
        <v>1474</v>
      </c>
    </row>
    <row r="59" spans="5:10" ht="57.95">
      <c r="E59" s="20" t="s">
        <v>1537</v>
      </c>
      <c r="F59" s="3" t="s">
        <v>1538</v>
      </c>
      <c r="G59" s="3" t="s">
        <v>1539</v>
      </c>
      <c r="H59" t="s">
        <v>1474</v>
      </c>
      <c r="I59" t="s">
        <v>1474</v>
      </c>
      <c r="J59" t="s">
        <v>1474</v>
      </c>
    </row>
    <row r="60" spans="5:10" ht="57.95">
      <c r="E60" s="20" t="s">
        <v>1540</v>
      </c>
      <c r="F60" s="3" t="s">
        <v>1541</v>
      </c>
      <c r="G60" s="3" t="s">
        <v>1542</v>
      </c>
      <c r="H60" t="s">
        <v>1474</v>
      </c>
      <c r="I60" t="s">
        <v>1474</v>
      </c>
      <c r="J60" t="s">
        <v>1474</v>
      </c>
    </row>
    <row r="61" spans="5:10" ht="57.95">
      <c r="E61" s="20" t="s">
        <v>1543</v>
      </c>
      <c r="F61" s="3" t="s">
        <v>1544</v>
      </c>
      <c r="G61" s="3" t="s">
        <v>120</v>
      </c>
      <c r="H61" t="s">
        <v>1474</v>
      </c>
      <c r="I61" t="s">
        <v>1474</v>
      </c>
      <c r="J61" t="s">
        <v>1474</v>
      </c>
    </row>
    <row r="62" spans="5:10" ht="72.599999999999994">
      <c r="E62" s="20" t="s">
        <v>1545</v>
      </c>
      <c r="F62" s="3" t="s">
        <v>1546</v>
      </c>
      <c r="G62" s="3" t="s">
        <v>943</v>
      </c>
      <c r="H62" t="s">
        <v>1474</v>
      </c>
      <c r="I62" t="s">
        <v>1474</v>
      </c>
      <c r="J62" t="s">
        <v>1474</v>
      </c>
    </row>
    <row r="63" spans="5:10" ht="57.95">
      <c r="E63" s="20" t="s">
        <v>1547</v>
      </c>
      <c r="F63" s="3" t="s">
        <v>1548</v>
      </c>
      <c r="G63" s="3" t="s">
        <v>1549</v>
      </c>
      <c r="H63" t="s">
        <v>1474</v>
      </c>
      <c r="I63" t="s">
        <v>1474</v>
      </c>
      <c r="J63" t="s">
        <v>1474</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6E11D-9395-4A33-A37E-00386F071B28}">
  <sheetPr>
    <tabColor theme="8"/>
  </sheetPr>
  <dimension ref="A1:L8"/>
  <sheetViews>
    <sheetView workbookViewId="0">
      <selection activeCell="M2" sqref="M2"/>
    </sheetView>
  </sheetViews>
  <sheetFormatPr defaultColWidth="8.85546875" defaultRowHeight="14.45"/>
  <sheetData>
    <row r="1" spans="1:12" ht="143.1">
      <c r="A1" s="67" t="s">
        <v>544</v>
      </c>
      <c r="B1" s="65" t="s">
        <v>1323</v>
      </c>
      <c r="C1" s="65" t="s">
        <v>436</v>
      </c>
      <c r="D1" s="65" t="s">
        <v>102</v>
      </c>
      <c r="E1" s="65" t="s">
        <v>1290</v>
      </c>
      <c r="F1" s="65" t="s">
        <v>271</v>
      </c>
      <c r="G1" s="65" t="s">
        <v>409</v>
      </c>
      <c r="H1" s="65" t="s">
        <v>413</v>
      </c>
      <c r="I1" s="65" t="s">
        <v>16</v>
      </c>
      <c r="J1" s="65" t="s">
        <v>16</v>
      </c>
      <c r="K1" s="65" t="s">
        <v>16</v>
      </c>
      <c r="L1" s="65" t="s">
        <v>16</v>
      </c>
    </row>
    <row r="2" spans="1:12" ht="195">
      <c r="A2" s="67" t="s">
        <v>1354</v>
      </c>
      <c r="B2" s="65" t="s">
        <v>1323</v>
      </c>
      <c r="C2" s="17" t="s">
        <v>541</v>
      </c>
      <c r="D2" s="65" t="s">
        <v>22</v>
      </c>
      <c r="E2" s="17" t="s">
        <v>1297</v>
      </c>
      <c r="F2" s="65" t="s">
        <v>23</v>
      </c>
      <c r="G2" s="65" t="s">
        <v>231</v>
      </c>
      <c r="H2" s="65" t="s">
        <v>364</v>
      </c>
      <c r="I2" s="17" t="s">
        <v>16</v>
      </c>
      <c r="J2" s="65" t="s">
        <v>16</v>
      </c>
      <c r="K2" s="65" t="s">
        <v>16</v>
      </c>
      <c r="L2" s="65" t="s">
        <v>15</v>
      </c>
    </row>
    <row r="3" spans="1:12" ht="168.95">
      <c r="A3" s="67" t="s">
        <v>1359</v>
      </c>
      <c r="B3" s="65" t="s">
        <v>1323</v>
      </c>
      <c r="C3" s="17" t="s">
        <v>459</v>
      </c>
      <c r="D3" s="65" t="s">
        <v>25</v>
      </c>
      <c r="E3" s="17" t="s">
        <v>53</v>
      </c>
      <c r="F3" s="65" t="s">
        <v>26</v>
      </c>
      <c r="G3" s="65" t="s">
        <v>231</v>
      </c>
      <c r="H3" s="65" t="s">
        <v>364</v>
      </c>
      <c r="I3" s="17" t="s">
        <v>16</v>
      </c>
      <c r="J3" s="65" t="s">
        <v>16</v>
      </c>
      <c r="K3" s="65" t="s">
        <v>16</v>
      </c>
      <c r="L3" s="65" t="s">
        <v>15</v>
      </c>
    </row>
    <row r="4" spans="1:12" ht="182.1">
      <c r="A4" s="67" t="s">
        <v>1550</v>
      </c>
      <c r="B4" s="65" t="s">
        <v>1323</v>
      </c>
      <c r="C4" s="17" t="s">
        <v>448</v>
      </c>
      <c r="D4" s="65" t="s">
        <v>35</v>
      </c>
      <c r="E4" s="17" t="s">
        <v>12</v>
      </c>
      <c r="F4" s="65" t="s">
        <v>29</v>
      </c>
      <c r="G4" s="65" t="s">
        <v>231</v>
      </c>
      <c r="H4" s="65" t="s">
        <v>364</v>
      </c>
      <c r="I4" s="17" t="s">
        <v>16</v>
      </c>
      <c r="J4" s="65" t="s">
        <v>16</v>
      </c>
      <c r="K4" s="65" t="s">
        <v>16</v>
      </c>
      <c r="L4" s="65" t="s">
        <v>15</v>
      </c>
    </row>
    <row r="5" spans="1:12" ht="143.1">
      <c r="A5" s="53" t="s">
        <v>108</v>
      </c>
      <c r="B5" s="17" t="s">
        <v>1323</v>
      </c>
      <c r="C5" s="17" t="s">
        <v>541</v>
      </c>
      <c r="D5" s="17" t="s">
        <v>22</v>
      </c>
      <c r="E5" s="17" t="s">
        <v>1297</v>
      </c>
      <c r="F5" s="17" t="s">
        <v>271</v>
      </c>
      <c r="G5" s="17" t="s">
        <v>960</v>
      </c>
      <c r="H5" s="17" t="s">
        <v>1245</v>
      </c>
      <c r="I5" s="17" t="s">
        <v>16</v>
      </c>
      <c r="J5" s="17" t="s">
        <v>15</v>
      </c>
      <c r="K5" s="17" t="s">
        <v>15</v>
      </c>
      <c r="L5" s="17" t="s">
        <v>15</v>
      </c>
    </row>
    <row r="6" spans="1:12" ht="143.1">
      <c r="A6" s="68" t="s">
        <v>1551</v>
      </c>
      <c r="B6" s="17" t="s">
        <v>1323</v>
      </c>
      <c r="C6" s="17" t="s">
        <v>436</v>
      </c>
      <c r="D6" s="17" t="s">
        <v>102</v>
      </c>
      <c r="E6" s="17" t="s">
        <v>1290</v>
      </c>
      <c r="F6" s="17"/>
      <c r="G6" s="17"/>
      <c r="H6" s="17"/>
      <c r="I6" s="17"/>
      <c r="J6" s="17"/>
      <c r="K6" s="17"/>
      <c r="L6" s="17"/>
    </row>
    <row r="7" spans="1:12" ht="156">
      <c r="A7" s="68" t="s">
        <v>1552</v>
      </c>
      <c r="B7" s="17" t="s">
        <v>1323</v>
      </c>
      <c r="C7" s="17" t="s">
        <v>436</v>
      </c>
      <c r="D7" s="17" t="s">
        <v>102</v>
      </c>
      <c r="E7" s="17" t="s">
        <v>1290</v>
      </c>
      <c r="F7" s="17"/>
      <c r="G7" s="17"/>
      <c r="H7" s="17"/>
      <c r="I7" s="17"/>
      <c r="J7" s="17"/>
      <c r="K7" s="17"/>
      <c r="L7" s="17"/>
    </row>
    <row r="8" spans="1:12" ht="143.1">
      <c r="A8" s="68" t="s">
        <v>1553</v>
      </c>
      <c r="B8" s="17" t="s">
        <v>1323</v>
      </c>
      <c r="C8" s="17" t="s">
        <v>436</v>
      </c>
      <c r="D8" s="17" t="s">
        <v>102</v>
      </c>
      <c r="E8" s="17" t="s">
        <v>1290</v>
      </c>
      <c r="F8" s="17"/>
      <c r="G8" s="17"/>
      <c r="H8" s="17"/>
      <c r="I8" s="17"/>
      <c r="J8" s="17"/>
      <c r="K8" s="17"/>
      <c r="L8" s="17"/>
    </row>
  </sheetData>
  <conditionalFormatting sqref="I1:L4 J5:L5">
    <cfRule type="containsText" dxfId="64" priority="1" operator="containsText" text="Não">
      <formula>NOT(ISERROR(SEARCH("Não",I1)))</formula>
    </cfRule>
  </conditionalFormatting>
  <pageMargins left="0.511811024" right="0.511811024" top="0.78740157499999996" bottom="0.78740157499999996" header="0.31496062000000002" footer="0.31496062000000002"/>
  <legacyDrawing r:id="rId1"/>
  <extLst>
    <ext xmlns:x14="http://schemas.microsoft.com/office/spreadsheetml/2009/9/main" uri="{CCE6A557-97BC-4b89-ADB6-D9C93CAAB3DF}">
      <x14:dataValidations xmlns:xm="http://schemas.microsoft.com/office/excel/2006/main" count="8">
        <x14:dataValidation type="list" allowBlank="1" showInputMessage="1" showErrorMessage="1" xr:uid="{447FECE9-40F7-4CD4-941B-646ADA3E4F4C}">
          <x14:formula1>
            <xm:f>Formatação!$C$2:$C$8</xm:f>
          </x14:formula1>
          <xm:sqref>D1:D8</xm:sqref>
        </x14:dataValidation>
        <x14:dataValidation type="list" allowBlank="1" showInputMessage="1" showErrorMessage="1" xr:uid="{0DB9044E-58C6-4F01-A0D2-83DAAF1BFC77}">
          <x14:formula1>
            <xm:f>Formatação!$A$2:$A$41</xm:f>
          </x14:formula1>
          <xm:sqref>B1:B8</xm:sqref>
        </x14:dataValidation>
        <x14:dataValidation type="list" allowBlank="1" showInputMessage="1" showErrorMessage="1" xr:uid="{34BE59DC-BFC7-4AF7-8E3A-74F067D4CC75}">
          <x14:formula1>
            <xm:f>Formatação!$D$2:$D$29</xm:f>
          </x14:formula1>
          <xm:sqref>F1</xm:sqref>
        </x14:dataValidation>
        <x14:dataValidation type="list" allowBlank="1" showInputMessage="1" showErrorMessage="1" xr:uid="{A73A62B8-BB2C-4975-9222-6345A57393EB}">
          <x14:formula1>
            <xm:f>Formatação!$F$2:$F$16</xm:f>
          </x14:formula1>
          <xm:sqref>H1:H4</xm:sqref>
        </x14:dataValidation>
        <x14:dataValidation type="list" allowBlank="1" showInputMessage="1" showErrorMessage="1" xr:uid="{5469409E-AA80-458A-BC7D-471CCD1C4972}">
          <x14:formula1>
            <xm:f>Formatação!$G$2:$G$13</xm:f>
          </x14:formula1>
          <xm:sqref>G1:G4</xm:sqref>
        </x14:dataValidation>
        <x14:dataValidation type="list" allowBlank="1" showInputMessage="1" showErrorMessage="1" xr:uid="{94E85178-9E17-4C0A-B0DA-396F57A59662}">
          <x14:formula1>
            <xm:f>Formatação!$D$2:$D$12</xm:f>
          </x14:formula1>
          <xm:sqref>F1:F8</xm:sqref>
        </x14:dataValidation>
        <x14:dataValidation type="list" allowBlank="1" showInputMessage="1" showErrorMessage="1" xr:uid="{6D53AF51-9194-4037-BD9D-6EEBAD5108F3}">
          <x14:formula1>
            <xm:f>Formatação!$E$2:$E$4</xm:f>
          </x14:formula1>
          <xm:sqref>I1:L4 G5:L5 G6:J8</xm:sqref>
        </x14:dataValidation>
        <x14:dataValidation type="list" allowBlank="1" showInputMessage="1" showErrorMessage="1" xr:uid="{AEEB9DD6-36B1-4AB8-8030-F022C9C2C4F7}">
          <x14:formula1>
            <xm:f>Formatação!$C$2:$C$9</xm:f>
          </x14:formula1>
          <xm:sqref>L6:L8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12848-4C2E-4048-AC9A-82E4818E540D}">
  <sheetPr>
    <tabColor theme="8"/>
  </sheetPr>
  <dimension ref="A1:B51"/>
  <sheetViews>
    <sheetView zoomScale="70" zoomScaleNormal="70" workbookViewId="0">
      <pane ySplit="1" topLeftCell="A2" activePane="bottomLeft" state="frozen"/>
      <selection pane="bottomLeft" activeCell="B2" sqref="B2"/>
    </sheetView>
  </sheetViews>
  <sheetFormatPr defaultColWidth="8.85546875" defaultRowHeight="14.45"/>
  <cols>
    <col min="1" max="1" width="67.85546875" bestFit="1" customWidth="1"/>
    <col min="2" max="2" width="94.42578125" bestFit="1" customWidth="1"/>
  </cols>
  <sheetData>
    <row r="1" spans="2:2">
      <c r="B1" s="1" t="s">
        <v>13</v>
      </c>
    </row>
    <row r="2" spans="2:2">
      <c r="B2" s="1" t="s">
        <v>205</v>
      </c>
    </row>
    <row r="3" spans="2:2">
      <c r="B3" s="1" t="s">
        <v>208</v>
      </c>
    </row>
    <row r="4" spans="2:2">
      <c r="B4" s="1" t="s">
        <v>25</v>
      </c>
    </row>
    <row r="5" spans="2:2">
      <c r="B5" s="1" t="s">
        <v>1554</v>
      </c>
    </row>
    <row r="6" spans="2:2">
      <c r="B6" s="1" t="s">
        <v>1555</v>
      </c>
    </row>
    <row r="7" spans="2:2">
      <c r="B7" s="1" t="s">
        <v>1556</v>
      </c>
    </row>
    <row r="8" spans="2:2">
      <c r="B8" s="1" t="s">
        <v>200</v>
      </c>
    </row>
    <row r="9" spans="2:2">
      <c r="B9" s="1" t="s">
        <v>1557</v>
      </c>
    </row>
    <row r="10" spans="2:2">
      <c r="B10" s="1" t="s">
        <v>32</v>
      </c>
    </row>
    <row r="11" spans="2:2">
      <c r="B11" s="1" t="s">
        <v>1555</v>
      </c>
    </row>
    <row r="23" spans="1:1" ht="16.5">
      <c r="A23" s="13"/>
    </row>
    <row r="24" spans="1:1" ht="16.5">
      <c r="A24" s="13"/>
    </row>
    <row r="25" spans="1:1" ht="16.5">
      <c r="A25" s="13"/>
    </row>
    <row r="26" spans="1:1" ht="16.5">
      <c r="A26" s="13"/>
    </row>
    <row r="27" spans="1:1" ht="16.5">
      <c r="A27" s="13"/>
    </row>
    <row r="28" spans="1:1" ht="16.5">
      <c r="A28" s="13"/>
    </row>
    <row r="29" spans="1:1" ht="16.5">
      <c r="A29" s="13"/>
    </row>
    <row r="30" spans="1:1" ht="16.5">
      <c r="A30" s="13"/>
    </row>
    <row r="31" spans="1:1" ht="16.5">
      <c r="A31" s="15"/>
    </row>
    <row r="32" spans="1:1" ht="16.5">
      <c r="A32" s="13"/>
    </row>
    <row r="33" spans="1:1" ht="16.5">
      <c r="A33" s="14"/>
    </row>
    <row r="34" spans="1:1">
      <c r="A34" s="12"/>
    </row>
    <row r="35" spans="1:1" ht="16.5">
      <c r="A35" s="14"/>
    </row>
    <row r="36" spans="1:1">
      <c r="A36" s="12"/>
    </row>
    <row r="37" spans="1:1" ht="16.5">
      <c r="A37" s="14"/>
    </row>
    <row r="38" spans="1:1">
      <c r="A38" s="12"/>
    </row>
    <row r="39" spans="1:1" ht="16.5">
      <c r="A39" s="14"/>
    </row>
    <row r="40" spans="1:1">
      <c r="A40" s="12"/>
    </row>
    <row r="41" spans="1:1" ht="16.5">
      <c r="A41" s="14"/>
    </row>
    <row r="42" spans="1:1">
      <c r="A42" s="12"/>
    </row>
    <row r="43" spans="1:1" ht="16.5">
      <c r="A43" s="14"/>
    </row>
    <row r="44" spans="1:1">
      <c r="A44" s="12"/>
    </row>
    <row r="45" spans="1:1" ht="16.5">
      <c r="A45" s="14"/>
    </row>
    <row r="46" spans="1:1">
      <c r="A46" s="12"/>
    </row>
    <row r="47" spans="1:1" ht="16.5">
      <c r="A47" s="14"/>
    </row>
    <row r="48" spans="1:1">
      <c r="A48" s="12"/>
    </row>
    <row r="49" spans="1:1" ht="16.5">
      <c r="A49" s="14"/>
    </row>
    <row r="50" spans="1:1">
      <c r="A50" s="12"/>
    </row>
    <row r="51" spans="1:1" ht="16.5">
      <c r="A51" s="14"/>
    </row>
  </sheetData>
  <sortState xmlns:xlrd2="http://schemas.microsoft.com/office/spreadsheetml/2017/richdata2" ref="A23:A51">
    <sortCondition ref="A23:A51"/>
  </sortState>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C53ED-8192-4D30-B642-8EAE2AFCC7C7}">
  <sheetPr>
    <tabColor rgb="FF00B050"/>
  </sheetPr>
  <dimension ref="A1:AP315"/>
  <sheetViews>
    <sheetView tabSelected="1" zoomScaleNormal="100" workbookViewId="0">
      <selection activeCell="B72" sqref="B72"/>
    </sheetView>
  </sheetViews>
  <sheetFormatPr defaultColWidth="0" defaultRowHeight="35.25" customHeight="1"/>
  <cols>
    <col min="1" max="1" width="40.7109375" style="69" customWidth="1"/>
    <col min="2" max="2" width="71.140625" style="69" customWidth="1"/>
    <col min="3" max="3" width="99.42578125" style="69" customWidth="1"/>
    <col min="4" max="4" width="19.42578125" style="75" customWidth="1"/>
    <col min="5" max="5" width="13.42578125" style="75" customWidth="1"/>
    <col min="6" max="6" width="17.140625" style="75" customWidth="1"/>
    <col min="7" max="8" width="26.7109375" style="75" customWidth="1"/>
    <col min="9" max="9" width="19.5703125" style="75" customWidth="1"/>
    <col min="10" max="10" width="21.85546875" style="75" customWidth="1"/>
    <col min="11" max="14" width="11.140625" style="75" customWidth="1"/>
    <col min="15" max="15" width="21.85546875" style="75" customWidth="1"/>
    <col min="16" max="16" width="18.28515625" style="75" customWidth="1"/>
    <col min="17" max="17" width="25.42578125" style="75" customWidth="1"/>
    <col min="18" max="18" width="30.7109375" style="75" customWidth="1"/>
    <col min="19" max="20" width="21" style="75" customWidth="1"/>
    <col min="21" max="21" width="22.5703125" style="75" customWidth="1"/>
    <col min="22" max="22" width="30.7109375" style="75" customWidth="1"/>
    <col min="23" max="25" width="29.140625" style="75" customWidth="1"/>
    <col min="26" max="26" width="38.5703125" style="75" customWidth="1"/>
    <col min="27" max="27" width="34.85546875" style="75" customWidth="1"/>
    <col min="28" max="28" width="26.140625" style="75" hidden="1" customWidth="1"/>
    <col min="29" max="29" width="24.42578125" style="75" hidden="1" customWidth="1"/>
    <col min="30" max="30" width="4.5703125" style="69" hidden="1" customWidth="1"/>
    <col min="31" max="31" width="23.85546875" style="69" hidden="1" customWidth="1"/>
    <col min="32" max="36" width="8.7109375" style="69" hidden="1" customWidth="1"/>
    <col min="37" max="42" width="0" style="69" hidden="1" customWidth="1"/>
    <col min="43" max="16384" width="8.7109375" style="69" hidden="1"/>
  </cols>
  <sheetData>
    <row r="1" spans="1:31" s="76" customFormat="1" ht="35.25" customHeight="1">
      <c r="A1" s="22" t="s">
        <v>867</v>
      </c>
      <c r="B1" s="60" t="s">
        <v>44</v>
      </c>
      <c r="C1" s="23" t="s">
        <v>223</v>
      </c>
      <c r="D1" s="23" t="s">
        <v>1</v>
      </c>
      <c r="E1" s="23" t="s">
        <v>224</v>
      </c>
      <c r="F1" s="23" t="s">
        <v>3</v>
      </c>
      <c r="G1" s="23" t="s">
        <v>225</v>
      </c>
      <c r="H1" s="23" t="s">
        <v>4</v>
      </c>
      <c r="I1" s="23" t="s">
        <v>226</v>
      </c>
      <c r="J1" s="23" t="s">
        <v>227</v>
      </c>
      <c r="K1" s="23" t="s">
        <v>5</v>
      </c>
      <c r="L1" s="23" t="s">
        <v>6</v>
      </c>
      <c r="M1" s="23" t="s">
        <v>7</v>
      </c>
      <c r="N1" s="23" t="s">
        <v>8</v>
      </c>
      <c r="O1" s="24" t="s">
        <v>868</v>
      </c>
      <c r="P1" s="24" t="s">
        <v>869</v>
      </c>
      <c r="Q1" s="24" t="s">
        <v>1558</v>
      </c>
      <c r="R1" s="24" t="s">
        <v>871</v>
      </c>
      <c r="S1" s="24" t="s">
        <v>872</v>
      </c>
      <c r="T1" s="24" t="s">
        <v>1559</v>
      </c>
      <c r="U1" s="24" t="s">
        <v>874</v>
      </c>
      <c r="V1" s="24" t="s">
        <v>875</v>
      </c>
      <c r="W1" s="24" t="s">
        <v>1560</v>
      </c>
      <c r="X1" s="24" t="s">
        <v>883</v>
      </c>
      <c r="Y1" s="24" t="s">
        <v>1561</v>
      </c>
      <c r="Z1" s="24" t="s">
        <v>884</v>
      </c>
      <c r="AA1" s="24" t="s">
        <v>1562</v>
      </c>
      <c r="AB1" s="24" t="s">
        <v>876</v>
      </c>
      <c r="AC1" s="24" t="s">
        <v>1563</v>
      </c>
      <c r="AD1" s="23" t="s">
        <v>1564</v>
      </c>
      <c r="AE1" s="23" t="s">
        <v>1565</v>
      </c>
    </row>
    <row r="2" spans="1:31" customFormat="1" ht="35.25" customHeight="1">
      <c r="A2" s="86" t="s">
        <v>843</v>
      </c>
      <c r="B2" s="86" t="s">
        <v>1566</v>
      </c>
      <c r="C2" s="87" t="s">
        <v>1567</v>
      </c>
      <c r="D2" s="87" t="s">
        <v>1568</v>
      </c>
      <c r="E2" s="87" t="s">
        <v>436</v>
      </c>
      <c r="F2" s="87" t="s">
        <v>102</v>
      </c>
      <c r="G2" s="87" t="s">
        <v>1569</v>
      </c>
      <c r="H2" s="88" t="s">
        <v>1570</v>
      </c>
      <c r="I2" s="87" t="s">
        <v>409</v>
      </c>
      <c r="J2" s="89" t="s">
        <v>413</v>
      </c>
      <c r="K2" s="87" t="s">
        <v>847</v>
      </c>
      <c r="L2" s="87" t="s">
        <v>847</v>
      </c>
      <c r="M2" s="87" t="s">
        <v>847</v>
      </c>
      <c r="N2" s="88" t="s">
        <v>847</v>
      </c>
      <c r="O2" s="90" t="s">
        <v>849</v>
      </c>
      <c r="P2" s="90" t="s">
        <v>848</v>
      </c>
      <c r="Q2" s="90" t="s">
        <v>849</v>
      </c>
      <c r="R2" s="90" t="s">
        <v>849</v>
      </c>
      <c r="S2" s="90" t="s">
        <v>848</v>
      </c>
      <c r="T2" s="90" t="s">
        <v>849</v>
      </c>
      <c r="U2" s="90" t="s">
        <v>849</v>
      </c>
      <c r="V2" s="89" t="s">
        <v>849</v>
      </c>
      <c r="W2" s="87">
        <f t="shared" ref="W2:W33" si="0">SUM(
  IF($O2 = "Impacto direto", 3, IF($O2 = "Impacto indireto", 2, 0)),
  IF($P2 = "Impacto direto", 3, IF($P2 = "Impacto indireto", 2, 0)),
  IF($Q2 = "Impacto direto", 3, IF($Q2 = "Impacto indireto", 2, 0)),
  IF($R2 = "Impacto direto", 3, IF($R2 = "Impacto indireto", 2, 0)),
  IF($S2 = "Impacto direto", 3, IF($S2 = "Impacto indireto", 2, 0)),
  IF($T2 = "Impacto direto", 3, IF($T2 = "Impacto indireto", 2, 0)),
  IF($U2 = "Impacto direto", 3, IF($U2 = "Impacto indireto", 2, 0)),
  IF($V2 = "Impacto direto", 3, IF($V2 = "Impacto indireto", 2, 0))
)</f>
        <v>18</v>
      </c>
      <c r="X2" s="87" t="str">
        <f t="shared" ref="X2:X33" si="1">IF($W2&lt;=5, "Leve", IF($W2&lt;=8, "Baixo", IF($W2&lt;=14, "Moderado", IF($W2&lt;=18, "Alto", IF($W2&lt;=24, "Crítico", "ERRO")))))</f>
        <v>Alto</v>
      </c>
      <c r="Y2" s="87" t="s">
        <v>851</v>
      </c>
      <c r="Z2" s="87" t="s">
        <v>1571</v>
      </c>
      <c r="AA2" s="87" t="s">
        <v>1572</v>
      </c>
    </row>
    <row r="3" spans="1:31" customFormat="1" ht="35.25" customHeight="1">
      <c r="A3" s="86" t="s">
        <v>855</v>
      </c>
      <c r="B3" s="86" t="s">
        <v>1573</v>
      </c>
      <c r="C3" s="87" t="s">
        <v>1574</v>
      </c>
      <c r="D3" s="87" t="s">
        <v>1568</v>
      </c>
      <c r="E3" s="87" t="s">
        <v>541</v>
      </c>
      <c r="F3" s="87" t="s">
        <v>22</v>
      </c>
      <c r="G3" s="87" t="s">
        <v>1575</v>
      </c>
      <c r="H3" s="88" t="s">
        <v>1576</v>
      </c>
      <c r="I3" s="87" t="s">
        <v>1577</v>
      </c>
      <c r="J3" s="89" t="s">
        <v>1578</v>
      </c>
      <c r="K3" s="87" t="s">
        <v>847</v>
      </c>
      <c r="L3" s="87" t="s">
        <v>847</v>
      </c>
      <c r="M3" s="87" t="s">
        <v>847</v>
      </c>
      <c r="N3" s="88" t="s">
        <v>847</v>
      </c>
      <c r="O3" s="90" t="s">
        <v>849</v>
      </c>
      <c r="P3" s="90" t="s">
        <v>848</v>
      </c>
      <c r="Q3" s="90" t="s">
        <v>848</v>
      </c>
      <c r="R3" s="90" t="s">
        <v>848</v>
      </c>
      <c r="S3" s="90" t="s">
        <v>848</v>
      </c>
      <c r="T3" s="90" t="s">
        <v>848</v>
      </c>
      <c r="U3" s="90" t="s">
        <v>849</v>
      </c>
      <c r="V3" s="89" t="s">
        <v>849</v>
      </c>
      <c r="W3" s="87">
        <f t="shared" si="0"/>
        <v>21</v>
      </c>
      <c r="X3" s="87" t="str">
        <f t="shared" si="1"/>
        <v>Crítico</v>
      </c>
      <c r="Y3" s="87" t="s">
        <v>851</v>
      </c>
      <c r="Z3" s="87" t="s">
        <v>1579</v>
      </c>
      <c r="AA3" s="87" t="s">
        <v>1580</v>
      </c>
    </row>
    <row r="4" spans="1:31" customFormat="1" ht="35.25" customHeight="1">
      <c r="A4" s="86" t="s">
        <v>857</v>
      </c>
      <c r="B4" s="86" t="s">
        <v>1328</v>
      </c>
      <c r="C4" s="87" t="s">
        <v>1581</v>
      </c>
      <c r="D4" s="87" t="s">
        <v>1568</v>
      </c>
      <c r="E4" s="87" t="s">
        <v>541</v>
      </c>
      <c r="F4" s="87" t="s">
        <v>22</v>
      </c>
      <c r="G4" s="87" t="s">
        <v>1582</v>
      </c>
      <c r="H4" s="88" t="s">
        <v>1583</v>
      </c>
      <c r="I4" s="87" t="s">
        <v>1577</v>
      </c>
      <c r="J4" s="89" t="s">
        <v>1584</v>
      </c>
      <c r="K4" s="87" t="s">
        <v>847</v>
      </c>
      <c r="L4" s="87" t="s">
        <v>847</v>
      </c>
      <c r="M4" s="87" t="s">
        <v>847</v>
      </c>
      <c r="N4" s="88" t="s">
        <v>847</v>
      </c>
      <c r="O4" s="90" t="s">
        <v>849</v>
      </c>
      <c r="P4" s="90" t="s">
        <v>848</v>
      </c>
      <c r="Q4" s="90" t="s">
        <v>848</v>
      </c>
      <c r="R4" s="90" t="s">
        <v>848</v>
      </c>
      <c r="S4" s="90" t="s">
        <v>848</v>
      </c>
      <c r="T4" s="90" t="s">
        <v>848</v>
      </c>
      <c r="U4" s="90" t="s">
        <v>849</v>
      </c>
      <c r="V4" s="89" t="s">
        <v>849</v>
      </c>
      <c r="W4" s="87">
        <f t="shared" si="0"/>
        <v>21</v>
      </c>
      <c r="X4" s="87" t="str">
        <f t="shared" si="1"/>
        <v>Crítico</v>
      </c>
      <c r="Y4" s="87" t="s">
        <v>851</v>
      </c>
      <c r="Z4" s="87" t="s">
        <v>1585</v>
      </c>
      <c r="AA4" s="87" t="s">
        <v>1586</v>
      </c>
    </row>
    <row r="5" spans="1:31" customFormat="1" ht="35.25" customHeight="1">
      <c r="A5" s="86" t="s">
        <v>859</v>
      </c>
      <c r="B5" s="86" t="s">
        <v>1587</v>
      </c>
      <c r="C5" s="87" t="s">
        <v>1588</v>
      </c>
      <c r="D5" s="87" t="s">
        <v>1568</v>
      </c>
      <c r="E5" s="87" t="s">
        <v>1589</v>
      </c>
      <c r="F5" s="87" t="s">
        <v>102</v>
      </c>
      <c r="G5" s="87" t="s">
        <v>1590</v>
      </c>
      <c r="H5" s="88" t="s">
        <v>1591</v>
      </c>
      <c r="I5" s="87" t="s">
        <v>1592</v>
      </c>
      <c r="J5" s="89" t="s">
        <v>1593</v>
      </c>
      <c r="K5" s="87" t="s">
        <v>847</v>
      </c>
      <c r="L5" s="87" t="s">
        <v>847</v>
      </c>
      <c r="M5" s="87" t="s">
        <v>847</v>
      </c>
      <c r="N5" s="88" t="s">
        <v>847</v>
      </c>
      <c r="O5" s="90" t="s">
        <v>849</v>
      </c>
      <c r="P5" s="90" t="s">
        <v>848</v>
      </c>
      <c r="Q5" s="90" t="s">
        <v>849</v>
      </c>
      <c r="R5" s="90" t="s">
        <v>848</v>
      </c>
      <c r="S5" s="90" t="s">
        <v>848</v>
      </c>
      <c r="T5" s="90" t="s">
        <v>849</v>
      </c>
      <c r="U5" s="90" t="s">
        <v>848</v>
      </c>
      <c r="V5" s="89" t="s">
        <v>849</v>
      </c>
      <c r="W5" s="87">
        <f t="shared" si="0"/>
        <v>20</v>
      </c>
      <c r="X5" s="87" t="str">
        <f t="shared" si="1"/>
        <v>Crítico</v>
      </c>
      <c r="Y5" s="87" t="s">
        <v>851</v>
      </c>
      <c r="Z5" s="87" t="s">
        <v>1594</v>
      </c>
      <c r="AA5" s="87" t="s">
        <v>1595</v>
      </c>
    </row>
    <row r="6" spans="1:31" customFormat="1" ht="35.25" customHeight="1">
      <c r="A6" s="86" t="s">
        <v>861</v>
      </c>
      <c r="B6" s="86" t="s">
        <v>1596</v>
      </c>
      <c r="C6" s="87" t="s">
        <v>1597</v>
      </c>
      <c r="D6" s="87" t="s">
        <v>1568</v>
      </c>
      <c r="E6" s="87" t="s">
        <v>1598</v>
      </c>
      <c r="F6" s="87" t="s">
        <v>22</v>
      </c>
      <c r="G6" s="87" t="s">
        <v>1599</v>
      </c>
      <c r="H6" s="88" t="s">
        <v>1600</v>
      </c>
      <c r="I6" s="87" t="s">
        <v>1577</v>
      </c>
      <c r="J6" s="89" t="s">
        <v>1578</v>
      </c>
      <c r="K6" s="87" t="s">
        <v>847</v>
      </c>
      <c r="L6" s="87" t="s">
        <v>847</v>
      </c>
      <c r="M6" s="87" t="s">
        <v>847</v>
      </c>
      <c r="N6" s="88" t="s">
        <v>847</v>
      </c>
      <c r="O6" s="90" t="s">
        <v>849</v>
      </c>
      <c r="P6" s="90" t="s">
        <v>848</v>
      </c>
      <c r="Q6" s="90" t="s">
        <v>848</v>
      </c>
      <c r="R6" s="90" t="s">
        <v>848</v>
      </c>
      <c r="S6" s="90" t="s">
        <v>848</v>
      </c>
      <c r="T6" s="90" t="s">
        <v>848</v>
      </c>
      <c r="U6" s="90" t="s">
        <v>849</v>
      </c>
      <c r="V6" s="89" t="s">
        <v>849</v>
      </c>
      <c r="W6" s="87">
        <f t="shared" si="0"/>
        <v>21</v>
      </c>
      <c r="X6" s="87" t="str">
        <f t="shared" si="1"/>
        <v>Crítico</v>
      </c>
      <c r="Y6" s="87" t="s">
        <v>851</v>
      </c>
      <c r="Z6" s="87" t="s">
        <v>1601</v>
      </c>
      <c r="AA6" s="87" t="s">
        <v>1602</v>
      </c>
    </row>
    <row r="7" spans="1:31" customFormat="1" ht="35.25" customHeight="1">
      <c r="A7" s="86" t="s">
        <v>864</v>
      </c>
      <c r="B7" s="86" t="s">
        <v>1603</v>
      </c>
      <c r="C7" s="87" t="s">
        <v>1604</v>
      </c>
      <c r="D7" s="87" t="s">
        <v>1568</v>
      </c>
      <c r="E7" s="87" t="s">
        <v>541</v>
      </c>
      <c r="F7" s="87" t="s">
        <v>22</v>
      </c>
      <c r="G7" s="87" t="s">
        <v>1605</v>
      </c>
      <c r="H7" s="88" t="s">
        <v>1576</v>
      </c>
      <c r="I7" s="87" t="s">
        <v>1577</v>
      </c>
      <c r="J7" s="89" t="s">
        <v>1606</v>
      </c>
      <c r="K7" s="87" t="s">
        <v>847</v>
      </c>
      <c r="L7" s="87" t="s">
        <v>847</v>
      </c>
      <c r="M7" s="87" t="s">
        <v>847</v>
      </c>
      <c r="N7" s="88" t="s">
        <v>847</v>
      </c>
      <c r="O7" s="90" t="s">
        <v>849</v>
      </c>
      <c r="P7" s="90" t="s">
        <v>848</v>
      </c>
      <c r="Q7" s="90" t="s">
        <v>848</v>
      </c>
      <c r="R7" s="90" t="s">
        <v>848</v>
      </c>
      <c r="S7" s="90" t="s">
        <v>848</v>
      </c>
      <c r="T7" s="90" t="s">
        <v>848</v>
      </c>
      <c r="U7" s="90" t="s">
        <v>849</v>
      </c>
      <c r="V7" s="89" t="s">
        <v>849</v>
      </c>
      <c r="W7" s="87">
        <f t="shared" si="0"/>
        <v>21</v>
      </c>
      <c r="X7" s="87" t="str">
        <f t="shared" si="1"/>
        <v>Crítico</v>
      </c>
      <c r="Y7" s="87" t="s">
        <v>851</v>
      </c>
      <c r="Z7" s="87" t="s">
        <v>1607</v>
      </c>
      <c r="AA7" s="87" t="s">
        <v>1608</v>
      </c>
    </row>
    <row r="8" spans="1:31" customFormat="1" ht="35.25" customHeight="1">
      <c r="A8" s="86" t="s">
        <v>1609</v>
      </c>
      <c r="B8" s="86" t="s">
        <v>1610</v>
      </c>
      <c r="C8" s="87" t="s">
        <v>1611</v>
      </c>
      <c r="D8" s="87" t="s">
        <v>1568</v>
      </c>
      <c r="E8" s="87" t="s">
        <v>1612</v>
      </c>
      <c r="F8" s="87" t="s">
        <v>102</v>
      </c>
      <c r="G8" s="87" t="s">
        <v>1613</v>
      </c>
      <c r="H8" s="88" t="s">
        <v>1570</v>
      </c>
      <c r="I8" s="87" t="s">
        <v>409</v>
      </c>
      <c r="J8" s="89" t="s">
        <v>413</v>
      </c>
      <c r="K8" s="87" t="s">
        <v>847</v>
      </c>
      <c r="L8" s="87" t="s">
        <v>847</v>
      </c>
      <c r="M8" s="87" t="s">
        <v>847</v>
      </c>
      <c r="N8" s="88" t="s">
        <v>847</v>
      </c>
      <c r="O8" s="90" t="s">
        <v>1614</v>
      </c>
      <c r="P8" s="90" t="s">
        <v>848</v>
      </c>
      <c r="Q8" s="90" t="s">
        <v>849</v>
      </c>
      <c r="R8" s="90" t="s">
        <v>849</v>
      </c>
      <c r="S8" s="90" t="s">
        <v>849</v>
      </c>
      <c r="T8" s="90" t="s">
        <v>849</v>
      </c>
      <c r="U8" s="90" t="s">
        <v>848</v>
      </c>
      <c r="V8" s="89" t="s">
        <v>1614</v>
      </c>
      <c r="W8" s="87">
        <f t="shared" si="0"/>
        <v>14</v>
      </c>
      <c r="X8" s="87" t="str">
        <f t="shared" si="1"/>
        <v>Moderado</v>
      </c>
      <c r="Y8" s="87" t="s">
        <v>851</v>
      </c>
      <c r="Z8" s="87" t="s">
        <v>1615</v>
      </c>
      <c r="AA8" s="87" t="s">
        <v>1616</v>
      </c>
    </row>
    <row r="9" spans="1:31" customFormat="1" ht="35.25" customHeight="1">
      <c r="A9" s="86" t="s">
        <v>1617</v>
      </c>
      <c r="B9" s="86" t="s">
        <v>1618</v>
      </c>
      <c r="C9" s="87" t="s">
        <v>1619</v>
      </c>
      <c r="D9" s="87" t="s">
        <v>1568</v>
      </c>
      <c r="E9" s="87" t="s">
        <v>436</v>
      </c>
      <c r="F9" s="87" t="s">
        <v>102</v>
      </c>
      <c r="G9" s="87" t="s">
        <v>1620</v>
      </c>
      <c r="H9" s="88" t="s">
        <v>1570</v>
      </c>
      <c r="I9" s="87" t="s">
        <v>409</v>
      </c>
      <c r="J9" s="89" t="s">
        <v>413</v>
      </c>
      <c r="K9" s="87" t="s">
        <v>847</v>
      </c>
      <c r="L9" s="87" t="s">
        <v>847</v>
      </c>
      <c r="M9" s="87" t="s">
        <v>847</v>
      </c>
      <c r="N9" s="88" t="s">
        <v>847</v>
      </c>
      <c r="O9" s="90" t="s">
        <v>849</v>
      </c>
      <c r="P9" s="90" t="s">
        <v>848</v>
      </c>
      <c r="Q9" s="90" t="s">
        <v>849</v>
      </c>
      <c r="R9" s="90" t="s">
        <v>849</v>
      </c>
      <c r="S9" s="90" t="s">
        <v>848</v>
      </c>
      <c r="T9" s="90" t="s">
        <v>849</v>
      </c>
      <c r="U9" s="90" t="s">
        <v>849</v>
      </c>
      <c r="V9" s="89" t="s">
        <v>1614</v>
      </c>
      <c r="W9" s="87">
        <f t="shared" si="0"/>
        <v>16</v>
      </c>
      <c r="X9" s="87" t="str">
        <f t="shared" si="1"/>
        <v>Alto</v>
      </c>
      <c r="Y9" s="87" t="s">
        <v>851</v>
      </c>
      <c r="Z9" s="87" t="s">
        <v>1621</v>
      </c>
      <c r="AA9" s="87" t="s">
        <v>1622</v>
      </c>
    </row>
    <row r="10" spans="1:31" customFormat="1" ht="35.25" customHeight="1">
      <c r="A10" s="86" t="s">
        <v>1623</v>
      </c>
      <c r="B10" s="86" t="s">
        <v>1624</v>
      </c>
      <c r="C10" s="87" t="s">
        <v>1625</v>
      </c>
      <c r="D10" s="87" t="s">
        <v>1568</v>
      </c>
      <c r="E10" s="87" t="s">
        <v>1598</v>
      </c>
      <c r="F10" s="87" t="s">
        <v>25</v>
      </c>
      <c r="G10" s="87" t="s">
        <v>1626</v>
      </c>
      <c r="H10" s="88" t="s">
        <v>1627</v>
      </c>
      <c r="I10" s="87" t="s">
        <v>409</v>
      </c>
      <c r="J10" s="89" t="s">
        <v>1628</v>
      </c>
      <c r="K10" s="87" t="s">
        <v>847</v>
      </c>
      <c r="L10" s="87" t="s">
        <v>847</v>
      </c>
      <c r="M10" s="87" t="s">
        <v>847</v>
      </c>
      <c r="N10" s="88" t="s">
        <v>847</v>
      </c>
      <c r="O10" s="90" t="s">
        <v>1614</v>
      </c>
      <c r="P10" s="90" t="s">
        <v>848</v>
      </c>
      <c r="Q10" s="90" t="s">
        <v>848</v>
      </c>
      <c r="R10" s="90" t="s">
        <v>848</v>
      </c>
      <c r="S10" s="90" t="s">
        <v>848</v>
      </c>
      <c r="T10" s="90" t="s">
        <v>849</v>
      </c>
      <c r="U10" s="90" t="s">
        <v>848</v>
      </c>
      <c r="V10" s="89" t="s">
        <v>1614</v>
      </c>
      <c r="W10" s="87">
        <f t="shared" si="0"/>
        <v>17</v>
      </c>
      <c r="X10" s="87" t="str">
        <f t="shared" si="1"/>
        <v>Alto</v>
      </c>
      <c r="Y10" s="87" t="s">
        <v>851</v>
      </c>
      <c r="Z10" s="87" t="s">
        <v>1629</v>
      </c>
      <c r="AA10" s="87" t="s">
        <v>1630</v>
      </c>
    </row>
    <row r="11" spans="1:31" customFormat="1" ht="35.25" customHeight="1">
      <c r="A11" s="86" t="s">
        <v>1631</v>
      </c>
      <c r="B11" s="86" t="s">
        <v>1632</v>
      </c>
      <c r="C11" s="87" t="s">
        <v>1633</v>
      </c>
      <c r="D11" s="87" t="s">
        <v>1568</v>
      </c>
      <c r="E11" s="87" t="s">
        <v>1634</v>
      </c>
      <c r="F11" s="87" t="s">
        <v>102</v>
      </c>
      <c r="G11" s="87" t="s">
        <v>1635</v>
      </c>
      <c r="H11" s="88" t="s">
        <v>1636</v>
      </c>
      <c r="I11" s="87" t="s">
        <v>1637</v>
      </c>
      <c r="J11" s="89" t="s">
        <v>1638</v>
      </c>
      <c r="K11" s="87" t="s">
        <v>847</v>
      </c>
      <c r="L11" s="87" t="s">
        <v>847</v>
      </c>
      <c r="M11" s="87" t="s">
        <v>847</v>
      </c>
      <c r="N11" s="88" t="s">
        <v>847</v>
      </c>
      <c r="O11" s="90" t="s">
        <v>849</v>
      </c>
      <c r="P11" s="90" t="s">
        <v>848</v>
      </c>
      <c r="Q11" s="90" t="s">
        <v>848</v>
      </c>
      <c r="R11" s="90" t="s">
        <v>848</v>
      </c>
      <c r="S11" s="90" t="s">
        <v>848</v>
      </c>
      <c r="T11" s="90" t="s">
        <v>849</v>
      </c>
      <c r="U11" s="90" t="s">
        <v>848</v>
      </c>
      <c r="V11" s="89" t="s">
        <v>1614</v>
      </c>
      <c r="W11" s="87">
        <f t="shared" si="0"/>
        <v>19</v>
      </c>
      <c r="X11" s="87" t="str">
        <f t="shared" si="1"/>
        <v>Crítico</v>
      </c>
      <c r="Y11" s="87" t="s">
        <v>851</v>
      </c>
      <c r="Z11" s="87" t="s">
        <v>1639</v>
      </c>
      <c r="AA11" s="87" t="s">
        <v>1640</v>
      </c>
    </row>
    <row r="12" spans="1:31" customFormat="1" ht="35.25" customHeight="1">
      <c r="A12" s="86" t="s">
        <v>1641</v>
      </c>
      <c r="B12" s="86" t="s">
        <v>1642</v>
      </c>
      <c r="C12" s="87" t="s">
        <v>1643</v>
      </c>
      <c r="D12" s="87" t="s">
        <v>1568</v>
      </c>
      <c r="E12" s="87" t="s">
        <v>1644</v>
      </c>
      <c r="F12" s="87" t="s">
        <v>22</v>
      </c>
      <c r="G12" s="87" t="s">
        <v>1645</v>
      </c>
      <c r="H12" s="88" t="s">
        <v>1583</v>
      </c>
      <c r="I12" s="87" t="s">
        <v>1577</v>
      </c>
      <c r="J12" s="89" t="s">
        <v>1646</v>
      </c>
      <c r="K12" s="87" t="s">
        <v>847</v>
      </c>
      <c r="L12" s="87" t="s">
        <v>847</v>
      </c>
      <c r="M12" s="87" t="s">
        <v>847</v>
      </c>
      <c r="N12" s="88" t="s">
        <v>847</v>
      </c>
      <c r="O12" s="90" t="s">
        <v>849</v>
      </c>
      <c r="P12" s="90" t="s">
        <v>848</v>
      </c>
      <c r="Q12" s="90" t="s">
        <v>848</v>
      </c>
      <c r="R12" s="90" t="s">
        <v>848</v>
      </c>
      <c r="S12" s="90" t="s">
        <v>848</v>
      </c>
      <c r="T12" s="90" t="s">
        <v>848</v>
      </c>
      <c r="U12" s="90" t="s">
        <v>849</v>
      </c>
      <c r="V12" s="89" t="s">
        <v>849</v>
      </c>
      <c r="W12" s="87">
        <f t="shared" si="0"/>
        <v>21</v>
      </c>
      <c r="X12" s="87" t="str">
        <f t="shared" si="1"/>
        <v>Crítico</v>
      </c>
      <c r="Y12" s="87" t="s">
        <v>851</v>
      </c>
      <c r="Z12" s="87" t="s">
        <v>1647</v>
      </c>
      <c r="AA12" s="87" t="s">
        <v>1648</v>
      </c>
    </row>
    <row r="13" spans="1:31" customFormat="1" ht="35.25" customHeight="1">
      <c r="A13" s="86" t="s">
        <v>1649</v>
      </c>
      <c r="B13" s="86" t="s">
        <v>1650</v>
      </c>
      <c r="C13" s="87" t="s">
        <v>1651</v>
      </c>
      <c r="D13" s="87" t="s">
        <v>1568</v>
      </c>
      <c r="E13" s="87" t="s">
        <v>1652</v>
      </c>
      <c r="F13" s="87" t="s">
        <v>35</v>
      </c>
      <c r="G13" s="87" t="s">
        <v>1653</v>
      </c>
      <c r="H13" s="88" t="s">
        <v>1654</v>
      </c>
      <c r="I13" s="87" t="s">
        <v>1637</v>
      </c>
      <c r="J13" s="89" t="s">
        <v>1655</v>
      </c>
      <c r="K13" s="87" t="s">
        <v>847</v>
      </c>
      <c r="L13" s="87" t="s">
        <v>847</v>
      </c>
      <c r="M13" s="87" t="s">
        <v>847</v>
      </c>
      <c r="N13" s="88" t="s">
        <v>847</v>
      </c>
      <c r="O13" s="90" t="s">
        <v>848</v>
      </c>
      <c r="P13" s="90" t="s">
        <v>848</v>
      </c>
      <c r="Q13" s="90" t="s">
        <v>848</v>
      </c>
      <c r="R13" s="90" t="s">
        <v>848</v>
      </c>
      <c r="S13" s="90" t="s">
        <v>848</v>
      </c>
      <c r="T13" s="90" t="s">
        <v>849</v>
      </c>
      <c r="U13" s="90" t="s">
        <v>848</v>
      </c>
      <c r="V13" s="89" t="s">
        <v>849</v>
      </c>
      <c r="W13" s="87">
        <f t="shared" si="0"/>
        <v>22</v>
      </c>
      <c r="X13" s="87" t="str">
        <f t="shared" si="1"/>
        <v>Crítico</v>
      </c>
      <c r="Y13" s="87" t="s">
        <v>851</v>
      </c>
      <c r="Z13" s="87" t="s">
        <v>1656</v>
      </c>
      <c r="AA13" s="87" t="s">
        <v>1657</v>
      </c>
    </row>
    <row r="14" spans="1:31" customFormat="1" ht="35.25" customHeight="1">
      <c r="A14" s="86" t="s">
        <v>1658</v>
      </c>
      <c r="B14" s="86" t="s">
        <v>1441</v>
      </c>
      <c r="C14" s="87" t="s">
        <v>1659</v>
      </c>
      <c r="D14" s="87" t="s">
        <v>1568</v>
      </c>
      <c r="E14" s="87" t="s">
        <v>1296</v>
      </c>
      <c r="F14" s="87" t="s">
        <v>239</v>
      </c>
      <c r="G14" s="87" t="s">
        <v>1660</v>
      </c>
      <c r="H14" s="88" t="s">
        <v>1661</v>
      </c>
      <c r="I14" s="87" t="s">
        <v>409</v>
      </c>
      <c r="J14" s="89" t="s">
        <v>1662</v>
      </c>
      <c r="K14" s="87" t="s">
        <v>847</v>
      </c>
      <c r="L14" s="87" t="s">
        <v>847</v>
      </c>
      <c r="M14" s="87" t="s">
        <v>847</v>
      </c>
      <c r="N14" s="88" t="s">
        <v>847</v>
      </c>
      <c r="O14" s="90" t="s">
        <v>848</v>
      </c>
      <c r="P14" s="90" t="s">
        <v>849</v>
      </c>
      <c r="Q14" s="90" t="s">
        <v>849</v>
      </c>
      <c r="R14" s="90" t="s">
        <v>849</v>
      </c>
      <c r="S14" s="90" t="s">
        <v>848</v>
      </c>
      <c r="T14" s="90" t="s">
        <v>849</v>
      </c>
      <c r="U14" s="90" t="s">
        <v>849</v>
      </c>
      <c r="V14" s="89" t="s">
        <v>848</v>
      </c>
      <c r="W14" s="87">
        <f t="shared" si="0"/>
        <v>19</v>
      </c>
      <c r="X14" s="87" t="str">
        <f t="shared" si="1"/>
        <v>Crítico</v>
      </c>
      <c r="Y14" s="87" t="s">
        <v>851</v>
      </c>
      <c r="Z14" s="87" t="s">
        <v>1663</v>
      </c>
      <c r="AA14" s="87" t="s">
        <v>1664</v>
      </c>
    </row>
    <row r="15" spans="1:31" customFormat="1" ht="35.25" customHeight="1">
      <c r="A15" s="86" t="s">
        <v>1665</v>
      </c>
      <c r="B15" s="86" t="s">
        <v>1666</v>
      </c>
      <c r="C15" s="87" t="s">
        <v>1667</v>
      </c>
      <c r="D15" s="87" t="s">
        <v>1568</v>
      </c>
      <c r="E15" s="87" t="s">
        <v>1296</v>
      </c>
      <c r="F15" s="87" t="s">
        <v>239</v>
      </c>
      <c r="G15" s="87" t="s">
        <v>1668</v>
      </c>
      <c r="H15" s="88" t="s">
        <v>1669</v>
      </c>
      <c r="I15" s="87" t="s">
        <v>409</v>
      </c>
      <c r="J15" s="89" t="s">
        <v>1670</v>
      </c>
      <c r="K15" s="87" t="s">
        <v>847</v>
      </c>
      <c r="L15" s="87" t="s">
        <v>847</v>
      </c>
      <c r="M15" s="87" t="s">
        <v>847</v>
      </c>
      <c r="N15" s="88" t="s">
        <v>847</v>
      </c>
      <c r="O15" s="90" t="s">
        <v>848</v>
      </c>
      <c r="P15" s="90" t="s">
        <v>849</v>
      </c>
      <c r="Q15" s="90" t="s">
        <v>849</v>
      </c>
      <c r="R15" s="90" t="s">
        <v>849</v>
      </c>
      <c r="S15" s="90" t="s">
        <v>848</v>
      </c>
      <c r="T15" s="90" t="s">
        <v>849</v>
      </c>
      <c r="U15" s="90" t="s">
        <v>849</v>
      </c>
      <c r="V15" s="89" t="s">
        <v>848</v>
      </c>
      <c r="W15" s="87">
        <f t="shared" si="0"/>
        <v>19</v>
      </c>
      <c r="X15" s="87" t="str">
        <f t="shared" si="1"/>
        <v>Crítico</v>
      </c>
      <c r="Y15" s="87" t="s">
        <v>851</v>
      </c>
      <c r="Z15" s="87" t="s">
        <v>1671</v>
      </c>
      <c r="AA15" s="87" t="s">
        <v>1672</v>
      </c>
    </row>
    <row r="16" spans="1:31" customFormat="1" ht="35.25" customHeight="1">
      <c r="A16" s="86" t="s">
        <v>1673</v>
      </c>
      <c r="B16" s="86" t="s">
        <v>1674</v>
      </c>
      <c r="C16" s="87" t="s">
        <v>1675</v>
      </c>
      <c r="D16" s="87" t="s">
        <v>1568</v>
      </c>
      <c r="E16" s="87" t="s">
        <v>1296</v>
      </c>
      <c r="F16" s="87" t="s">
        <v>239</v>
      </c>
      <c r="G16" s="87" t="s">
        <v>1676</v>
      </c>
      <c r="H16" s="88" t="s">
        <v>1661</v>
      </c>
      <c r="I16" s="87" t="s">
        <v>409</v>
      </c>
      <c r="J16" s="89" t="s">
        <v>1677</v>
      </c>
      <c r="K16" s="87" t="s">
        <v>847</v>
      </c>
      <c r="L16" s="87" t="s">
        <v>847</v>
      </c>
      <c r="M16" s="87" t="s">
        <v>847</v>
      </c>
      <c r="N16" s="88" t="s">
        <v>847</v>
      </c>
      <c r="O16" s="90" t="s">
        <v>849</v>
      </c>
      <c r="P16" s="90" t="s">
        <v>1614</v>
      </c>
      <c r="Q16" s="90" t="s">
        <v>1614</v>
      </c>
      <c r="R16" s="90" t="s">
        <v>1614</v>
      </c>
      <c r="S16" s="90" t="s">
        <v>849</v>
      </c>
      <c r="T16" s="90" t="s">
        <v>1614</v>
      </c>
      <c r="U16" s="90" t="s">
        <v>1614</v>
      </c>
      <c r="V16" s="89" t="s">
        <v>848</v>
      </c>
      <c r="W16" s="87">
        <f t="shared" si="0"/>
        <v>7</v>
      </c>
      <c r="X16" s="87" t="str">
        <f t="shared" si="1"/>
        <v>Baixo</v>
      </c>
      <c r="Y16" s="87" t="s">
        <v>851</v>
      </c>
      <c r="Z16" s="87" t="s">
        <v>1678</v>
      </c>
      <c r="AA16" s="87" t="s">
        <v>1679</v>
      </c>
    </row>
    <row r="17" spans="1:27" customFormat="1" ht="35.25" customHeight="1">
      <c r="A17" s="86" t="s">
        <v>1680</v>
      </c>
      <c r="B17" s="86" t="s">
        <v>1681</v>
      </c>
      <c r="C17" s="87" t="s">
        <v>1682</v>
      </c>
      <c r="D17" s="87" t="s">
        <v>1568</v>
      </c>
      <c r="E17" s="87" t="s">
        <v>1598</v>
      </c>
      <c r="F17" s="87" t="s">
        <v>102</v>
      </c>
      <c r="G17" s="87" t="s">
        <v>1683</v>
      </c>
      <c r="H17" s="88" t="s">
        <v>1684</v>
      </c>
      <c r="I17" s="87" t="s">
        <v>1592</v>
      </c>
      <c r="J17" s="89" t="s">
        <v>1685</v>
      </c>
      <c r="K17" s="87" t="s">
        <v>847</v>
      </c>
      <c r="L17" s="87" t="s">
        <v>847</v>
      </c>
      <c r="M17" s="87" t="s">
        <v>847</v>
      </c>
      <c r="N17" s="88" t="s">
        <v>847</v>
      </c>
      <c r="O17" s="90" t="s">
        <v>849</v>
      </c>
      <c r="P17" s="90" t="s">
        <v>849</v>
      </c>
      <c r="Q17" s="90" t="s">
        <v>849</v>
      </c>
      <c r="R17" s="90" t="s">
        <v>848</v>
      </c>
      <c r="S17" s="90" t="s">
        <v>848</v>
      </c>
      <c r="T17" s="90" t="s">
        <v>849</v>
      </c>
      <c r="U17" s="90" t="s">
        <v>849</v>
      </c>
      <c r="V17" s="89" t="s">
        <v>849</v>
      </c>
      <c r="W17" s="87">
        <f t="shared" si="0"/>
        <v>18</v>
      </c>
      <c r="X17" s="87" t="str">
        <f t="shared" si="1"/>
        <v>Alto</v>
      </c>
      <c r="Y17" s="87" t="s">
        <v>851</v>
      </c>
      <c r="Z17" s="87" t="s">
        <v>1686</v>
      </c>
      <c r="AA17" s="87" t="s">
        <v>1687</v>
      </c>
    </row>
    <row r="18" spans="1:27" customFormat="1" ht="35.25" customHeight="1">
      <c r="A18" s="86" t="s">
        <v>1688</v>
      </c>
      <c r="B18" s="86" t="s">
        <v>1689</v>
      </c>
      <c r="C18" s="87" t="s">
        <v>1690</v>
      </c>
      <c r="D18" s="87" t="s">
        <v>1568</v>
      </c>
      <c r="E18" s="87" t="s">
        <v>1691</v>
      </c>
      <c r="F18" s="87" t="s">
        <v>25</v>
      </c>
      <c r="G18" s="87" t="s">
        <v>1692</v>
      </c>
      <c r="H18" s="88" t="s">
        <v>1693</v>
      </c>
      <c r="I18" s="87" t="s">
        <v>409</v>
      </c>
      <c r="J18" s="89" t="s">
        <v>1694</v>
      </c>
      <c r="K18" s="87" t="s">
        <v>847</v>
      </c>
      <c r="L18" s="87" t="s">
        <v>847</v>
      </c>
      <c r="M18" s="87" t="s">
        <v>847</v>
      </c>
      <c r="N18" s="88" t="s">
        <v>847</v>
      </c>
      <c r="O18" s="90" t="s">
        <v>848</v>
      </c>
      <c r="P18" s="90" t="s">
        <v>849</v>
      </c>
      <c r="Q18" s="90" t="s">
        <v>848</v>
      </c>
      <c r="R18" s="90" t="s">
        <v>848</v>
      </c>
      <c r="S18" s="90" t="s">
        <v>848</v>
      </c>
      <c r="T18" s="90" t="s">
        <v>848</v>
      </c>
      <c r="U18" s="90" t="s">
        <v>849</v>
      </c>
      <c r="V18" s="89" t="s">
        <v>849</v>
      </c>
      <c r="W18" s="87">
        <f t="shared" si="0"/>
        <v>21</v>
      </c>
      <c r="X18" s="87" t="str">
        <f t="shared" si="1"/>
        <v>Crítico</v>
      </c>
      <c r="Y18" s="87" t="s">
        <v>851</v>
      </c>
      <c r="Z18" s="87" t="s">
        <v>1695</v>
      </c>
      <c r="AA18" s="87" t="s">
        <v>1696</v>
      </c>
    </row>
    <row r="19" spans="1:27" customFormat="1" ht="35.25" customHeight="1">
      <c r="A19" s="86" t="s">
        <v>1697</v>
      </c>
      <c r="B19" s="86" t="s">
        <v>1698</v>
      </c>
      <c r="C19" s="87" t="s">
        <v>1699</v>
      </c>
      <c r="D19" s="87" t="s">
        <v>1568</v>
      </c>
      <c r="E19" s="87" t="s">
        <v>1700</v>
      </c>
      <c r="F19" s="87" t="s">
        <v>25</v>
      </c>
      <c r="G19" s="87" t="s">
        <v>1701</v>
      </c>
      <c r="H19" s="88" t="s">
        <v>1702</v>
      </c>
      <c r="I19" s="87" t="s">
        <v>1577</v>
      </c>
      <c r="J19" s="89" t="s">
        <v>1703</v>
      </c>
      <c r="K19" s="87" t="s">
        <v>847</v>
      </c>
      <c r="L19" s="87" t="s">
        <v>847</v>
      </c>
      <c r="M19" s="87" t="s">
        <v>847</v>
      </c>
      <c r="N19" s="88" t="s">
        <v>847</v>
      </c>
      <c r="O19" s="90" t="s">
        <v>848</v>
      </c>
      <c r="P19" s="90" t="s">
        <v>848</v>
      </c>
      <c r="Q19" s="90" t="s">
        <v>848</v>
      </c>
      <c r="R19" s="90" t="s">
        <v>848</v>
      </c>
      <c r="S19" s="90" t="s">
        <v>848</v>
      </c>
      <c r="T19" s="90" t="s">
        <v>848</v>
      </c>
      <c r="U19" s="90" t="s">
        <v>848</v>
      </c>
      <c r="V19" s="89" t="s">
        <v>849</v>
      </c>
      <c r="W19" s="87">
        <f t="shared" si="0"/>
        <v>23</v>
      </c>
      <c r="X19" s="87" t="str">
        <f t="shared" si="1"/>
        <v>Crítico</v>
      </c>
      <c r="Y19" s="87" t="s">
        <v>1704</v>
      </c>
      <c r="Z19" s="87" t="s">
        <v>1705</v>
      </c>
      <c r="AA19" s="87" t="s">
        <v>1706</v>
      </c>
    </row>
    <row r="20" spans="1:27" customFormat="1" ht="35.25" customHeight="1">
      <c r="A20" s="86" t="s">
        <v>1707</v>
      </c>
      <c r="B20" s="86" t="s">
        <v>1708</v>
      </c>
      <c r="C20" s="87" t="s">
        <v>1709</v>
      </c>
      <c r="D20" s="87" t="s">
        <v>1568</v>
      </c>
      <c r="E20" s="87" t="s">
        <v>1700</v>
      </c>
      <c r="F20" s="87" t="s">
        <v>25</v>
      </c>
      <c r="G20" s="87" t="s">
        <v>1710</v>
      </c>
      <c r="H20" s="88" t="s">
        <v>1711</v>
      </c>
      <c r="I20" s="87" t="s">
        <v>409</v>
      </c>
      <c r="J20" s="89" t="s">
        <v>1712</v>
      </c>
      <c r="K20" s="87" t="s">
        <v>847</v>
      </c>
      <c r="L20" s="87" t="s">
        <v>847</v>
      </c>
      <c r="M20" s="87" t="s">
        <v>847</v>
      </c>
      <c r="N20" s="88" t="s">
        <v>847</v>
      </c>
      <c r="O20" s="90" t="s">
        <v>848</v>
      </c>
      <c r="P20" s="90" t="s">
        <v>849</v>
      </c>
      <c r="Q20" s="90" t="s">
        <v>848</v>
      </c>
      <c r="R20" s="90" t="s">
        <v>848</v>
      </c>
      <c r="S20" s="90" t="s">
        <v>848</v>
      </c>
      <c r="T20" s="90" t="s">
        <v>848</v>
      </c>
      <c r="U20" s="90" t="s">
        <v>849</v>
      </c>
      <c r="V20" s="89" t="s">
        <v>848</v>
      </c>
      <c r="W20" s="87">
        <f t="shared" si="0"/>
        <v>22</v>
      </c>
      <c r="X20" s="87" t="str">
        <f t="shared" si="1"/>
        <v>Crítico</v>
      </c>
      <c r="Y20" s="87" t="s">
        <v>851</v>
      </c>
      <c r="Z20" s="87" t="s">
        <v>1713</v>
      </c>
      <c r="AA20" s="87" t="s">
        <v>1714</v>
      </c>
    </row>
    <row r="21" spans="1:27" customFormat="1" ht="35.25" customHeight="1">
      <c r="A21" s="86" t="s">
        <v>1715</v>
      </c>
      <c r="B21" s="86" t="s">
        <v>1716</v>
      </c>
      <c r="C21" s="87" t="s">
        <v>1717</v>
      </c>
      <c r="D21" s="87" t="s">
        <v>1568</v>
      </c>
      <c r="E21" s="87" t="s">
        <v>1718</v>
      </c>
      <c r="F21" s="87" t="s">
        <v>102</v>
      </c>
      <c r="G21" s="87" t="s">
        <v>1719</v>
      </c>
      <c r="H21" s="88" t="s">
        <v>1720</v>
      </c>
      <c r="I21" s="87" t="s">
        <v>1577</v>
      </c>
      <c r="J21" s="89" t="s">
        <v>1721</v>
      </c>
      <c r="K21" s="87" t="s">
        <v>847</v>
      </c>
      <c r="L21" s="87" t="s">
        <v>847</v>
      </c>
      <c r="M21" s="87" t="s">
        <v>847</v>
      </c>
      <c r="N21" s="88" t="s">
        <v>847</v>
      </c>
      <c r="O21" s="90" t="s">
        <v>849</v>
      </c>
      <c r="P21" s="90" t="s">
        <v>848</v>
      </c>
      <c r="Q21" s="90" t="s">
        <v>849</v>
      </c>
      <c r="R21" s="90" t="s">
        <v>848</v>
      </c>
      <c r="S21" s="90" t="s">
        <v>848</v>
      </c>
      <c r="T21" s="90" t="s">
        <v>848</v>
      </c>
      <c r="U21" s="90" t="s">
        <v>849</v>
      </c>
      <c r="V21" s="89" t="s">
        <v>849</v>
      </c>
      <c r="W21" s="87">
        <f t="shared" si="0"/>
        <v>20</v>
      </c>
      <c r="X21" s="87" t="str">
        <f t="shared" si="1"/>
        <v>Crítico</v>
      </c>
      <c r="Y21" s="87" t="s">
        <v>1704</v>
      </c>
      <c r="Z21" s="87" t="s">
        <v>1722</v>
      </c>
      <c r="AA21" s="87" t="s">
        <v>1723</v>
      </c>
    </row>
    <row r="22" spans="1:27" customFormat="1" ht="35.25" customHeight="1">
      <c r="A22" s="86" t="s">
        <v>1724</v>
      </c>
      <c r="B22" s="86" t="s">
        <v>1725</v>
      </c>
      <c r="C22" s="87" t="s">
        <v>1726</v>
      </c>
      <c r="D22" s="87" t="s">
        <v>1568</v>
      </c>
      <c r="E22" s="87" t="s">
        <v>1700</v>
      </c>
      <c r="F22" s="87" t="s">
        <v>25</v>
      </c>
      <c r="G22" s="87" t="s">
        <v>1727</v>
      </c>
      <c r="H22" s="88" t="s">
        <v>1728</v>
      </c>
      <c r="I22" s="87" t="s">
        <v>1577</v>
      </c>
      <c r="J22" s="89" t="s">
        <v>1729</v>
      </c>
      <c r="K22" s="87" t="s">
        <v>847</v>
      </c>
      <c r="L22" s="87" t="s">
        <v>847</v>
      </c>
      <c r="M22" s="87" t="s">
        <v>847</v>
      </c>
      <c r="N22" s="88" t="s">
        <v>847</v>
      </c>
      <c r="O22" s="90" t="s">
        <v>848</v>
      </c>
      <c r="P22" s="90" t="s">
        <v>849</v>
      </c>
      <c r="Q22" s="90" t="s">
        <v>848</v>
      </c>
      <c r="R22" s="90" t="s">
        <v>848</v>
      </c>
      <c r="S22" s="90" t="s">
        <v>848</v>
      </c>
      <c r="T22" s="90" t="s">
        <v>848</v>
      </c>
      <c r="U22" s="90" t="s">
        <v>849</v>
      </c>
      <c r="V22" s="89" t="s">
        <v>848</v>
      </c>
      <c r="W22" s="87">
        <f t="shared" si="0"/>
        <v>22</v>
      </c>
      <c r="X22" s="87" t="str">
        <f t="shared" si="1"/>
        <v>Crítico</v>
      </c>
      <c r="Y22" s="87" t="s">
        <v>851</v>
      </c>
      <c r="Z22" s="87" t="s">
        <v>1730</v>
      </c>
      <c r="AA22" s="87" t="s">
        <v>1731</v>
      </c>
    </row>
    <row r="23" spans="1:27" customFormat="1" ht="35.25" customHeight="1">
      <c r="A23" s="86" t="s">
        <v>1732</v>
      </c>
      <c r="B23" s="86" t="s">
        <v>1733</v>
      </c>
      <c r="C23" s="87" t="s">
        <v>1734</v>
      </c>
      <c r="D23" s="87" t="s">
        <v>1568</v>
      </c>
      <c r="E23" s="87" t="s">
        <v>1735</v>
      </c>
      <c r="F23" s="87" t="s">
        <v>35</v>
      </c>
      <c r="G23" s="87" t="s">
        <v>1736</v>
      </c>
      <c r="H23" s="88" t="s">
        <v>1737</v>
      </c>
      <c r="I23" s="87" t="s">
        <v>409</v>
      </c>
      <c r="J23" s="89" t="s">
        <v>1738</v>
      </c>
      <c r="K23" s="87" t="s">
        <v>847</v>
      </c>
      <c r="L23" s="87" t="s">
        <v>847</v>
      </c>
      <c r="M23" s="87" t="s">
        <v>847</v>
      </c>
      <c r="N23" s="87" t="s">
        <v>847</v>
      </c>
      <c r="O23" s="90" t="s">
        <v>849</v>
      </c>
      <c r="P23" s="90" t="s">
        <v>1614</v>
      </c>
      <c r="Q23" s="90" t="s">
        <v>849</v>
      </c>
      <c r="R23" s="90" t="s">
        <v>848</v>
      </c>
      <c r="S23" s="90" t="s">
        <v>848</v>
      </c>
      <c r="T23" s="90" t="s">
        <v>849</v>
      </c>
      <c r="U23" s="90" t="s">
        <v>849</v>
      </c>
      <c r="V23" s="89" t="s">
        <v>849</v>
      </c>
      <c r="W23" s="87">
        <f t="shared" si="0"/>
        <v>16</v>
      </c>
      <c r="X23" s="87" t="str">
        <f t="shared" si="1"/>
        <v>Alto</v>
      </c>
      <c r="Y23" s="87" t="s">
        <v>1704</v>
      </c>
      <c r="Z23" s="87" t="s">
        <v>1739</v>
      </c>
      <c r="AA23" s="87" t="s">
        <v>1740</v>
      </c>
    </row>
    <row r="24" spans="1:27" customFormat="1" ht="35.25" customHeight="1">
      <c r="A24" s="86" t="s">
        <v>1741</v>
      </c>
      <c r="B24" s="86" t="s">
        <v>1742</v>
      </c>
      <c r="C24" s="87" t="s">
        <v>1743</v>
      </c>
      <c r="D24" s="87" t="s">
        <v>1568</v>
      </c>
      <c r="E24" s="87" t="s">
        <v>1744</v>
      </c>
      <c r="F24" s="87" t="s">
        <v>32</v>
      </c>
      <c r="G24" s="87" t="s">
        <v>1745</v>
      </c>
      <c r="H24" s="88" t="s">
        <v>1746</v>
      </c>
      <c r="I24" s="87" t="s">
        <v>1577</v>
      </c>
      <c r="J24" s="89" t="s">
        <v>1747</v>
      </c>
      <c r="K24" s="87" t="s">
        <v>847</v>
      </c>
      <c r="L24" s="87" t="s">
        <v>847</v>
      </c>
      <c r="M24" s="87" t="s">
        <v>847</v>
      </c>
      <c r="N24" s="87" t="s">
        <v>847</v>
      </c>
      <c r="O24" s="90" t="s">
        <v>849</v>
      </c>
      <c r="P24" s="90" t="s">
        <v>849</v>
      </c>
      <c r="Q24" s="90" t="s">
        <v>849</v>
      </c>
      <c r="R24" s="90" t="s">
        <v>849</v>
      </c>
      <c r="S24" s="90" t="s">
        <v>849</v>
      </c>
      <c r="T24" s="90" t="s">
        <v>849</v>
      </c>
      <c r="U24" s="90" t="s">
        <v>849</v>
      </c>
      <c r="V24" s="89" t="s">
        <v>849</v>
      </c>
      <c r="W24" s="87">
        <f t="shared" si="0"/>
        <v>16</v>
      </c>
      <c r="X24" s="87" t="str">
        <f t="shared" si="1"/>
        <v>Alto</v>
      </c>
      <c r="Y24" s="87" t="s">
        <v>1704</v>
      </c>
      <c r="Z24" s="87" t="s">
        <v>1748</v>
      </c>
      <c r="AA24" s="87" t="s">
        <v>1749</v>
      </c>
    </row>
    <row r="25" spans="1:27" customFormat="1" ht="35.25" customHeight="1">
      <c r="A25" s="86" t="s">
        <v>1750</v>
      </c>
      <c r="B25" s="86" t="s">
        <v>1751</v>
      </c>
      <c r="C25" s="87" t="s">
        <v>1752</v>
      </c>
      <c r="D25" s="87" t="s">
        <v>1568</v>
      </c>
      <c r="E25" s="87" t="s">
        <v>1753</v>
      </c>
      <c r="F25" s="87" t="s">
        <v>32</v>
      </c>
      <c r="G25" s="87" t="s">
        <v>1754</v>
      </c>
      <c r="H25" s="88" t="s">
        <v>1684</v>
      </c>
      <c r="I25" s="87" t="s">
        <v>1637</v>
      </c>
      <c r="J25" s="89" t="s">
        <v>1755</v>
      </c>
      <c r="K25" s="87" t="s">
        <v>847</v>
      </c>
      <c r="L25" s="87" t="s">
        <v>847</v>
      </c>
      <c r="M25" s="87" t="s">
        <v>847</v>
      </c>
      <c r="N25" s="87" t="s">
        <v>847</v>
      </c>
      <c r="O25" s="90" t="s">
        <v>849</v>
      </c>
      <c r="P25" s="90" t="s">
        <v>849</v>
      </c>
      <c r="Q25" s="90" t="s">
        <v>849</v>
      </c>
      <c r="R25" s="90" t="s">
        <v>849</v>
      </c>
      <c r="S25" s="90" t="s">
        <v>849</v>
      </c>
      <c r="T25" s="90" t="s">
        <v>849</v>
      </c>
      <c r="U25" s="90" t="s">
        <v>849</v>
      </c>
      <c r="V25" s="89" t="s">
        <v>1614</v>
      </c>
      <c r="W25" s="87">
        <f t="shared" si="0"/>
        <v>14</v>
      </c>
      <c r="X25" s="87" t="str">
        <f t="shared" si="1"/>
        <v>Moderado</v>
      </c>
      <c r="Y25" s="87" t="s">
        <v>1704</v>
      </c>
      <c r="Z25" s="87" t="s">
        <v>1756</v>
      </c>
      <c r="AA25" s="87" t="s">
        <v>1757</v>
      </c>
    </row>
    <row r="26" spans="1:27" customFormat="1" ht="35.25" customHeight="1">
      <c r="A26" s="86" t="s">
        <v>1758</v>
      </c>
      <c r="B26" s="86" t="s">
        <v>1759</v>
      </c>
      <c r="C26" s="87" t="s">
        <v>1760</v>
      </c>
      <c r="D26" s="87" t="s">
        <v>1568</v>
      </c>
      <c r="E26" s="87" t="s">
        <v>1700</v>
      </c>
      <c r="F26" s="87" t="s">
        <v>32</v>
      </c>
      <c r="G26" s="87" t="s">
        <v>1761</v>
      </c>
      <c r="H26" s="88" t="s">
        <v>1636</v>
      </c>
      <c r="I26" s="87" t="s">
        <v>1577</v>
      </c>
      <c r="J26" s="89" t="s">
        <v>1762</v>
      </c>
      <c r="K26" s="87" t="s">
        <v>847</v>
      </c>
      <c r="L26" s="87" t="s">
        <v>847</v>
      </c>
      <c r="M26" s="87" t="s">
        <v>847</v>
      </c>
      <c r="N26" s="87" t="s">
        <v>847</v>
      </c>
      <c r="O26" s="90" t="s">
        <v>849</v>
      </c>
      <c r="P26" s="90" t="s">
        <v>848</v>
      </c>
      <c r="Q26" s="90" t="s">
        <v>849</v>
      </c>
      <c r="R26" s="90" t="s">
        <v>848</v>
      </c>
      <c r="S26" s="90" t="s">
        <v>848</v>
      </c>
      <c r="T26" s="90" t="s">
        <v>849</v>
      </c>
      <c r="U26" s="90" t="s">
        <v>849</v>
      </c>
      <c r="V26" s="89" t="s">
        <v>849</v>
      </c>
      <c r="W26" s="87">
        <f t="shared" si="0"/>
        <v>19</v>
      </c>
      <c r="X26" s="87" t="str">
        <f t="shared" si="1"/>
        <v>Crítico</v>
      </c>
      <c r="Y26" s="87" t="s">
        <v>1704</v>
      </c>
      <c r="Z26" s="87" t="s">
        <v>1763</v>
      </c>
      <c r="AA26" s="87" t="s">
        <v>1764</v>
      </c>
    </row>
    <row r="27" spans="1:27" customFormat="1" ht="35.25" customHeight="1">
      <c r="A27" s="86" t="s">
        <v>1765</v>
      </c>
      <c r="B27" s="86" t="s">
        <v>1766</v>
      </c>
      <c r="C27" s="87" t="s">
        <v>1767</v>
      </c>
      <c r="D27" s="87" t="s">
        <v>1568</v>
      </c>
      <c r="E27" s="87" t="s">
        <v>1768</v>
      </c>
      <c r="F27" s="87" t="s">
        <v>32</v>
      </c>
      <c r="G27" s="87" t="s">
        <v>1769</v>
      </c>
      <c r="H27" s="88" t="s">
        <v>1770</v>
      </c>
      <c r="I27" s="87" t="s">
        <v>1577</v>
      </c>
      <c r="J27" s="89" t="s">
        <v>1771</v>
      </c>
      <c r="K27" s="87" t="s">
        <v>847</v>
      </c>
      <c r="L27" s="87" t="s">
        <v>847</v>
      </c>
      <c r="M27" s="87" t="s">
        <v>847</v>
      </c>
      <c r="N27" s="87" t="s">
        <v>847</v>
      </c>
      <c r="O27" s="90" t="s">
        <v>849</v>
      </c>
      <c r="P27" s="90" t="s">
        <v>849</v>
      </c>
      <c r="Q27" s="90" t="s">
        <v>849</v>
      </c>
      <c r="R27" s="90" t="s">
        <v>849</v>
      </c>
      <c r="S27" s="90" t="s">
        <v>849</v>
      </c>
      <c r="T27" s="90" t="s">
        <v>849</v>
      </c>
      <c r="U27" s="90" t="s">
        <v>849</v>
      </c>
      <c r="V27" s="89" t="s">
        <v>848</v>
      </c>
      <c r="W27" s="87">
        <f t="shared" si="0"/>
        <v>17</v>
      </c>
      <c r="X27" s="87" t="str">
        <f t="shared" si="1"/>
        <v>Alto</v>
      </c>
      <c r="Y27" s="87" t="s">
        <v>1704</v>
      </c>
      <c r="Z27" s="87" t="s">
        <v>1772</v>
      </c>
      <c r="AA27" s="87" t="s">
        <v>1773</v>
      </c>
    </row>
    <row r="28" spans="1:27" customFormat="1" ht="35.25" customHeight="1">
      <c r="A28" s="86" t="s">
        <v>1774</v>
      </c>
      <c r="B28" s="86" t="s">
        <v>1775</v>
      </c>
      <c r="C28" s="87" t="s">
        <v>1776</v>
      </c>
      <c r="D28" s="87" t="s">
        <v>1568</v>
      </c>
      <c r="E28" s="87" t="s">
        <v>1753</v>
      </c>
      <c r="F28" s="87" t="s">
        <v>32</v>
      </c>
      <c r="G28" s="87" t="s">
        <v>1777</v>
      </c>
      <c r="H28" s="88" t="s">
        <v>1684</v>
      </c>
      <c r="I28" s="87" t="s">
        <v>1577</v>
      </c>
      <c r="J28" s="89" t="s">
        <v>1747</v>
      </c>
      <c r="K28" s="87" t="s">
        <v>847</v>
      </c>
      <c r="L28" s="87" t="s">
        <v>847</v>
      </c>
      <c r="M28" s="87" t="s">
        <v>847</v>
      </c>
      <c r="N28" s="87" t="s">
        <v>847</v>
      </c>
      <c r="O28" s="90" t="s">
        <v>849</v>
      </c>
      <c r="P28" s="90" t="s">
        <v>849</v>
      </c>
      <c r="Q28" s="90" t="s">
        <v>1614</v>
      </c>
      <c r="R28" s="90" t="s">
        <v>849</v>
      </c>
      <c r="S28" s="90" t="s">
        <v>849</v>
      </c>
      <c r="T28" s="90" t="s">
        <v>849</v>
      </c>
      <c r="U28" s="90" t="s">
        <v>849</v>
      </c>
      <c r="V28" s="89" t="s">
        <v>849</v>
      </c>
      <c r="W28" s="87">
        <f t="shared" si="0"/>
        <v>14</v>
      </c>
      <c r="X28" s="87" t="str">
        <f t="shared" si="1"/>
        <v>Moderado</v>
      </c>
      <c r="Y28" s="87" t="s">
        <v>1704</v>
      </c>
      <c r="Z28" s="87" t="s">
        <v>1778</v>
      </c>
      <c r="AA28" s="87" t="s">
        <v>1779</v>
      </c>
    </row>
    <row r="29" spans="1:27" customFormat="1" ht="35.25" customHeight="1">
      <c r="A29" s="86" t="s">
        <v>1780</v>
      </c>
      <c r="B29" s="86" t="s">
        <v>1781</v>
      </c>
      <c r="C29" s="87" t="s">
        <v>1782</v>
      </c>
      <c r="D29" s="87" t="s">
        <v>1568</v>
      </c>
      <c r="E29" s="87" t="s">
        <v>1700</v>
      </c>
      <c r="F29" s="87" t="s">
        <v>32</v>
      </c>
      <c r="G29" s="87" t="s">
        <v>1783</v>
      </c>
      <c r="H29" s="88" t="s">
        <v>1784</v>
      </c>
      <c r="I29" s="87" t="s">
        <v>1577</v>
      </c>
      <c r="J29" s="89" t="s">
        <v>1785</v>
      </c>
      <c r="K29" s="87" t="s">
        <v>847</v>
      </c>
      <c r="L29" s="87" t="s">
        <v>847</v>
      </c>
      <c r="M29" s="87" t="s">
        <v>847</v>
      </c>
      <c r="N29" s="87" t="s">
        <v>847</v>
      </c>
      <c r="O29" s="90" t="s">
        <v>849</v>
      </c>
      <c r="P29" s="90" t="s">
        <v>848</v>
      </c>
      <c r="Q29" s="90" t="s">
        <v>849</v>
      </c>
      <c r="R29" s="90" t="s">
        <v>848</v>
      </c>
      <c r="S29" s="90" t="s">
        <v>848</v>
      </c>
      <c r="T29" s="90" t="s">
        <v>849</v>
      </c>
      <c r="U29" s="90" t="s">
        <v>849</v>
      </c>
      <c r="V29" s="89" t="s">
        <v>849</v>
      </c>
      <c r="W29" s="87">
        <f t="shared" si="0"/>
        <v>19</v>
      </c>
      <c r="X29" s="87" t="str">
        <f t="shared" si="1"/>
        <v>Crítico</v>
      </c>
      <c r="Y29" s="87" t="s">
        <v>1704</v>
      </c>
      <c r="Z29" s="87" t="s">
        <v>1786</v>
      </c>
      <c r="AA29" s="87" t="s">
        <v>1787</v>
      </c>
    </row>
    <row r="30" spans="1:27" customFormat="1" ht="35.25" customHeight="1">
      <c r="A30" s="86" t="s">
        <v>1788</v>
      </c>
      <c r="B30" s="86" t="s">
        <v>1789</v>
      </c>
      <c r="C30" s="87" t="s">
        <v>1790</v>
      </c>
      <c r="D30" s="87" t="s">
        <v>1568</v>
      </c>
      <c r="E30" s="87" t="s">
        <v>1791</v>
      </c>
      <c r="F30" s="87" t="s">
        <v>35</v>
      </c>
      <c r="G30" s="87" t="s">
        <v>1792</v>
      </c>
      <c r="H30" s="88" t="s">
        <v>1793</v>
      </c>
      <c r="I30" s="87" t="s">
        <v>1592</v>
      </c>
      <c r="J30" s="89" t="s">
        <v>1794</v>
      </c>
      <c r="K30" s="87" t="s">
        <v>847</v>
      </c>
      <c r="L30" s="87" t="s">
        <v>847</v>
      </c>
      <c r="M30" s="87" t="s">
        <v>847</v>
      </c>
      <c r="N30" s="87" t="s">
        <v>847</v>
      </c>
      <c r="O30" s="90" t="s">
        <v>849</v>
      </c>
      <c r="P30" s="90" t="s">
        <v>849</v>
      </c>
      <c r="Q30" s="90" t="s">
        <v>848</v>
      </c>
      <c r="R30" s="90" t="s">
        <v>848</v>
      </c>
      <c r="S30" s="90" t="s">
        <v>849</v>
      </c>
      <c r="T30" s="90" t="s">
        <v>849</v>
      </c>
      <c r="U30" s="90" t="s">
        <v>848</v>
      </c>
      <c r="V30" s="89" t="s">
        <v>1614</v>
      </c>
      <c r="W30" s="87">
        <f t="shared" si="0"/>
        <v>17</v>
      </c>
      <c r="X30" s="87" t="str">
        <f t="shared" si="1"/>
        <v>Alto</v>
      </c>
      <c r="Y30" s="87" t="s">
        <v>851</v>
      </c>
      <c r="Z30" s="87" t="s">
        <v>1795</v>
      </c>
      <c r="AA30" s="87" t="s">
        <v>1796</v>
      </c>
    </row>
    <row r="31" spans="1:27" customFormat="1" ht="35.25" customHeight="1">
      <c r="A31" s="86" t="s">
        <v>1797</v>
      </c>
      <c r="B31" s="86" t="s">
        <v>1798</v>
      </c>
      <c r="C31" s="87" t="s">
        <v>1799</v>
      </c>
      <c r="D31" s="87" t="s">
        <v>1568</v>
      </c>
      <c r="E31" s="87" t="s">
        <v>448</v>
      </c>
      <c r="F31" s="87" t="s">
        <v>35</v>
      </c>
      <c r="G31" s="87" t="s">
        <v>1800</v>
      </c>
      <c r="H31" s="88" t="s">
        <v>1801</v>
      </c>
      <c r="I31" s="87" t="s">
        <v>1637</v>
      </c>
      <c r="J31" s="89" t="s">
        <v>1802</v>
      </c>
      <c r="K31" s="87" t="s">
        <v>847</v>
      </c>
      <c r="L31" s="87" t="s">
        <v>847</v>
      </c>
      <c r="M31" s="87" t="s">
        <v>847</v>
      </c>
      <c r="N31" s="87" t="s">
        <v>847</v>
      </c>
      <c r="O31" s="90" t="s">
        <v>1614</v>
      </c>
      <c r="P31" s="90" t="s">
        <v>1614</v>
      </c>
      <c r="Q31" s="90" t="s">
        <v>848</v>
      </c>
      <c r="R31" s="90" t="s">
        <v>848</v>
      </c>
      <c r="S31" s="90" t="s">
        <v>849</v>
      </c>
      <c r="T31" s="90" t="s">
        <v>849</v>
      </c>
      <c r="U31" s="90" t="s">
        <v>848</v>
      </c>
      <c r="V31" s="89" t="s">
        <v>1614</v>
      </c>
      <c r="W31" s="87">
        <f t="shared" si="0"/>
        <v>13</v>
      </c>
      <c r="X31" s="87" t="str">
        <f t="shared" si="1"/>
        <v>Moderado</v>
      </c>
      <c r="Y31" s="87" t="s">
        <v>851</v>
      </c>
      <c r="Z31" s="87" t="s">
        <v>1803</v>
      </c>
      <c r="AA31" s="87" t="s">
        <v>1804</v>
      </c>
    </row>
    <row r="32" spans="1:27" customFormat="1" ht="35.25" customHeight="1">
      <c r="A32" s="86" t="s">
        <v>1805</v>
      </c>
      <c r="B32" s="86" t="s">
        <v>1806</v>
      </c>
      <c r="C32" s="87" t="s">
        <v>1807</v>
      </c>
      <c r="D32" s="87" t="s">
        <v>1568</v>
      </c>
      <c r="E32" s="87" t="s">
        <v>448</v>
      </c>
      <c r="F32" s="87" t="s">
        <v>35</v>
      </c>
      <c r="G32" s="87" t="s">
        <v>1808</v>
      </c>
      <c r="H32" s="88" t="s">
        <v>1801</v>
      </c>
      <c r="I32" s="87" t="s">
        <v>1637</v>
      </c>
      <c r="J32" s="89" t="s">
        <v>1809</v>
      </c>
      <c r="K32" s="87" t="s">
        <v>847</v>
      </c>
      <c r="L32" s="87" t="s">
        <v>847</v>
      </c>
      <c r="M32" s="87" t="s">
        <v>847</v>
      </c>
      <c r="N32" s="87" t="s">
        <v>847</v>
      </c>
      <c r="O32" s="90" t="s">
        <v>1614</v>
      </c>
      <c r="P32" s="90" t="s">
        <v>1614</v>
      </c>
      <c r="Q32" s="90" t="s">
        <v>848</v>
      </c>
      <c r="R32" s="90" t="s">
        <v>848</v>
      </c>
      <c r="S32" s="90" t="s">
        <v>849</v>
      </c>
      <c r="T32" s="90" t="s">
        <v>849</v>
      </c>
      <c r="U32" s="90" t="s">
        <v>848</v>
      </c>
      <c r="V32" s="89" t="s">
        <v>1614</v>
      </c>
      <c r="W32" s="87">
        <f t="shared" si="0"/>
        <v>13</v>
      </c>
      <c r="X32" s="87" t="str">
        <f t="shared" si="1"/>
        <v>Moderado</v>
      </c>
      <c r="Y32" s="87" t="s">
        <v>851</v>
      </c>
      <c r="Z32" s="87" t="s">
        <v>1810</v>
      </c>
      <c r="AA32" s="87" t="s">
        <v>1811</v>
      </c>
    </row>
    <row r="33" spans="1:27" customFormat="1" ht="35.25" customHeight="1">
      <c r="A33" s="86" t="s">
        <v>1812</v>
      </c>
      <c r="B33" s="86" t="s">
        <v>1813</v>
      </c>
      <c r="C33" s="87" t="s">
        <v>1814</v>
      </c>
      <c r="D33" s="87" t="s">
        <v>1568</v>
      </c>
      <c r="E33" s="87" t="s">
        <v>1753</v>
      </c>
      <c r="F33" s="87" t="s">
        <v>25</v>
      </c>
      <c r="G33" s="87" t="s">
        <v>1815</v>
      </c>
      <c r="H33" s="88" t="s">
        <v>1801</v>
      </c>
      <c r="I33" s="87" t="s">
        <v>1637</v>
      </c>
      <c r="J33" s="89" t="s">
        <v>1816</v>
      </c>
      <c r="K33" s="87" t="s">
        <v>847</v>
      </c>
      <c r="L33" s="87" t="s">
        <v>847</v>
      </c>
      <c r="M33" s="87" t="s">
        <v>847</v>
      </c>
      <c r="N33" s="87" t="s">
        <v>847</v>
      </c>
      <c r="O33" s="90" t="s">
        <v>849</v>
      </c>
      <c r="P33" s="90" t="s">
        <v>849</v>
      </c>
      <c r="Q33" s="90" t="s">
        <v>849</v>
      </c>
      <c r="R33" s="90" t="s">
        <v>848</v>
      </c>
      <c r="S33" s="90" t="s">
        <v>848</v>
      </c>
      <c r="T33" s="90" t="s">
        <v>849</v>
      </c>
      <c r="U33" s="90" t="s">
        <v>848</v>
      </c>
      <c r="V33" s="89" t="s">
        <v>1614</v>
      </c>
      <c r="W33" s="87">
        <f t="shared" si="0"/>
        <v>17</v>
      </c>
      <c r="X33" s="87" t="str">
        <f t="shared" si="1"/>
        <v>Alto</v>
      </c>
      <c r="Y33" s="87" t="s">
        <v>851</v>
      </c>
      <c r="Z33" s="87" t="s">
        <v>1817</v>
      </c>
      <c r="AA33" s="87" t="s">
        <v>1818</v>
      </c>
    </row>
    <row r="34" spans="1:27" customFormat="1" ht="35.25" customHeight="1">
      <c r="A34" s="86" t="s">
        <v>1819</v>
      </c>
      <c r="B34" s="86" t="s">
        <v>1820</v>
      </c>
      <c r="C34" s="87" t="s">
        <v>1821</v>
      </c>
      <c r="D34" s="87" t="s">
        <v>1568</v>
      </c>
      <c r="E34" s="87" t="s">
        <v>459</v>
      </c>
      <c r="F34" s="87" t="s">
        <v>25</v>
      </c>
      <c r="G34" s="87" t="s">
        <v>1822</v>
      </c>
      <c r="H34" s="88" t="s">
        <v>1801</v>
      </c>
      <c r="I34" s="87" t="s">
        <v>1637</v>
      </c>
      <c r="J34" s="89" t="s">
        <v>1823</v>
      </c>
      <c r="K34" s="87" t="s">
        <v>847</v>
      </c>
      <c r="L34" s="87" t="s">
        <v>847</v>
      </c>
      <c r="M34" s="87" t="s">
        <v>847</v>
      </c>
      <c r="N34" s="87" t="s">
        <v>847</v>
      </c>
      <c r="O34" s="90" t="s">
        <v>849</v>
      </c>
      <c r="P34" s="90" t="s">
        <v>849</v>
      </c>
      <c r="Q34" s="90" t="s">
        <v>849</v>
      </c>
      <c r="R34" s="90" t="s">
        <v>848</v>
      </c>
      <c r="S34" s="90" t="s">
        <v>848</v>
      </c>
      <c r="T34" s="90" t="s">
        <v>849</v>
      </c>
      <c r="U34" s="90" t="s">
        <v>848</v>
      </c>
      <c r="V34" s="89" t="s">
        <v>1614</v>
      </c>
      <c r="W34" s="87">
        <f t="shared" ref="W34:W65" si="2">SUM(
  IF($O34 = "Impacto direto", 3, IF($O34 = "Impacto indireto", 2, 0)),
  IF($P34 = "Impacto direto", 3, IF($P34 = "Impacto indireto", 2, 0)),
  IF($Q34 = "Impacto direto", 3, IF($Q34 = "Impacto indireto", 2, 0)),
  IF($R34 = "Impacto direto", 3, IF($R34 = "Impacto indireto", 2, 0)),
  IF($S34 = "Impacto direto", 3, IF($S34 = "Impacto indireto", 2, 0)),
  IF($T34 = "Impacto direto", 3, IF($T34 = "Impacto indireto", 2, 0)),
  IF($U34 = "Impacto direto", 3, IF($U34 = "Impacto indireto", 2, 0)),
  IF($V34 = "Impacto direto", 3, IF($V34 = "Impacto indireto", 2, 0))
)</f>
        <v>17</v>
      </c>
      <c r="X34" s="87" t="str">
        <f t="shared" ref="X34:X65" si="3">IF($W34&lt;=5, "Leve", IF($W34&lt;=8, "Baixo", IF($W34&lt;=14, "Moderado", IF($W34&lt;=18, "Alto", IF($W34&lt;=24, "Crítico", "ERRO")))))</f>
        <v>Alto</v>
      </c>
      <c r="Y34" s="87" t="s">
        <v>851</v>
      </c>
      <c r="Z34" s="87" t="s">
        <v>1824</v>
      </c>
      <c r="AA34" s="87" t="s">
        <v>1825</v>
      </c>
    </row>
    <row r="35" spans="1:27" customFormat="1" ht="35.25" customHeight="1">
      <c r="A35" s="86" t="s">
        <v>1826</v>
      </c>
      <c r="B35" s="86" t="s">
        <v>1827</v>
      </c>
      <c r="C35" s="87" t="s">
        <v>1828</v>
      </c>
      <c r="D35" s="87" t="s">
        <v>1568</v>
      </c>
      <c r="E35" s="87" t="s">
        <v>1589</v>
      </c>
      <c r="F35" s="87" t="s">
        <v>102</v>
      </c>
      <c r="G35" s="87" t="s">
        <v>1829</v>
      </c>
      <c r="H35" s="88" t="s">
        <v>1591</v>
      </c>
      <c r="I35" s="87" t="s">
        <v>1592</v>
      </c>
      <c r="J35" s="89" t="s">
        <v>1830</v>
      </c>
      <c r="K35" s="87" t="s">
        <v>847</v>
      </c>
      <c r="L35" s="87" t="s">
        <v>847</v>
      </c>
      <c r="M35" s="87" t="s">
        <v>847</v>
      </c>
      <c r="N35" s="87" t="s">
        <v>847</v>
      </c>
      <c r="O35" s="90" t="s">
        <v>849</v>
      </c>
      <c r="P35" s="90" t="s">
        <v>848</v>
      </c>
      <c r="Q35" s="90" t="s">
        <v>848</v>
      </c>
      <c r="R35" s="90" t="s">
        <v>848</v>
      </c>
      <c r="S35" s="90" t="s">
        <v>848</v>
      </c>
      <c r="T35" s="90" t="s">
        <v>849</v>
      </c>
      <c r="U35" s="90" t="s">
        <v>848</v>
      </c>
      <c r="V35" s="89" t="s">
        <v>1614</v>
      </c>
      <c r="W35" s="87">
        <f t="shared" si="2"/>
        <v>19</v>
      </c>
      <c r="X35" s="87" t="str">
        <f t="shared" si="3"/>
        <v>Crítico</v>
      </c>
      <c r="Y35" s="87" t="s">
        <v>851</v>
      </c>
      <c r="Z35" s="87" t="s">
        <v>1831</v>
      </c>
      <c r="AA35" s="87" t="s">
        <v>1832</v>
      </c>
    </row>
    <row r="36" spans="1:27" customFormat="1" ht="35.25" customHeight="1">
      <c r="A36" s="86" t="s">
        <v>1833</v>
      </c>
      <c r="B36" s="86" t="s">
        <v>1834</v>
      </c>
      <c r="C36" s="87" t="s">
        <v>1835</v>
      </c>
      <c r="D36" s="87" t="s">
        <v>1568</v>
      </c>
      <c r="E36" s="87" t="s">
        <v>1791</v>
      </c>
      <c r="F36" s="87" t="s">
        <v>35</v>
      </c>
      <c r="G36" s="87" t="s">
        <v>1836</v>
      </c>
      <c r="H36" s="88" t="s">
        <v>1801</v>
      </c>
      <c r="I36" s="87" t="s">
        <v>1637</v>
      </c>
      <c r="J36" s="89" t="s">
        <v>1794</v>
      </c>
      <c r="K36" s="87" t="s">
        <v>847</v>
      </c>
      <c r="L36" s="87" t="s">
        <v>847</v>
      </c>
      <c r="M36" s="87" t="s">
        <v>847</v>
      </c>
      <c r="N36" s="87" t="s">
        <v>847</v>
      </c>
      <c r="O36" s="90" t="s">
        <v>849</v>
      </c>
      <c r="P36" s="90" t="s">
        <v>849</v>
      </c>
      <c r="Q36" s="90" t="s">
        <v>848</v>
      </c>
      <c r="R36" s="90" t="s">
        <v>848</v>
      </c>
      <c r="S36" s="90" t="s">
        <v>849</v>
      </c>
      <c r="T36" s="90" t="s">
        <v>849</v>
      </c>
      <c r="U36" s="90" t="s">
        <v>848</v>
      </c>
      <c r="V36" s="89" t="s">
        <v>1614</v>
      </c>
      <c r="W36" s="87">
        <f t="shared" si="2"/>
        <v>17</v>
      </c>
      <c r="X36" s="87" t="str">
        <f t="shared" si="3"/>
        <v>Alto</v>
      </c>
      <c r="Y36" s="87" t="s">
        <v>851</v>
      </c>
      <c r="Z36" s="87" t="s">
        <v>1837</v>
      </c>
      <c r="AA36" s="87" t="s">
        <v>1838</v>
      </c>
    </row>
    <row r="37" spans="1:27" customFormat="1" ht="35.25" customHeight="1">
      <c r="A37" s="86" t="s">
        <v>1839</v>
      </c>
      <c r="B37" s="86" t="s">
        <v>1840</v>
      </c>
      <c r="C37" s="87" t="s">
        <v>1841</v>
      </c>
      <c r="D37" s="87" t="s">
        <v>1568</v>
      </c>
      <c r="E37" s="87" t="s">
        <v>1791</v>
      </c>
      <c r="F37" s="87" t="s">
        <v>35</v>
      </c>
      <c r="G37" s="87" t="s">
        <v>1842</v>
      </c>
      <c r="H37" s="88" t="s">
        <v>1801</v>
      </c>
      <c r="I37" s="87" t="s">
        <v>1637</v>
      </c>
      <c r="J37" s="89" t="s">
        <v>1843</v>
      </c>
      <c r="K37" s="87" t="s">
        <v>847</v>
      </c>
      <c r="L37" s="87" t="s">
        <v>847</v>
      </c>
      <c r="M37" s="87" t="s">
        <v>847</v>
      </c>
      <c r="N37" s="87" t="s">
        <v>847</v>
      </c>
      <c r="O37" s="90" t="s">
        <v>849</v>
      </c>
      <c r="P37" s="90" t="s">
        <v>849</v>
      </c>
      <c r="Q37" s="90" t="s">
        <v>848</v>
      </c>
      <c r="R37" s="90" t="s">
        <v>848</v>
      </c>
      <c r="S37" s="90" t="s">
        <v>849</v>
      </c>
      <c r="T37" s="90" t="s">
        <v>849</v>
      </c>
      <c r="U37" s="90" t="s">
        <v>849</v>
      </c>
      <c r="V37" s="89" t="s">
        <v>1614</v>
      </c>
      <c r="W37" s="87">
        <f t="shared" si="2"/>
        <v>16</v>
      </c>
      <c r="X37" s="87" t="str">
        <f t="shared" si="3"/>
        <v>Alto</v>
      </c>
      <c r="Y37" s="87" t="s">
        <v>851</v>
      </c>
      <c r="Z37" s="87" t="s">
        <v>1844</v>
      </c>
      <c r="AA37" s="87" t="s">
        <v>1845</v>
      </c>
    </row>
    <row r="38" spans="1:27" customFormat="1" ht="35.25" customHeight="1">
      <c r="A38" s="86" t="s">
        <v>1846</v>
      </c>
      <c r="B38" s="86" t="s">
        <v>1847</v>
      </c>
      <c r="C38" s="87" t="s">
        <v>1848</v>
      </c>
      <c r="D38" s="87" t="s">
        <v>1568</v>
      </c>
      <c r="E38" s="87" t="s">
        <v>459</v>
      </c>
      <c r="F38" s="87" t="s">
        <v>25</v>
      </c>
      <c r="G38" s="87" t="s">
        <v>1849</v>
      </c>
      <c r="H38" s="88" t="s">
        <v>1850</v>
      </c>
      <c r="I38" s="87" t="s">
        <v>1577</v>
      </c>
      <c r="J38" s="89" t="s">
        <v>1851</v>
      </c>
      <c r="K38" s="87" t="s">
        <v>847</v>
      </c>
      <c r="L38" s="87" t="s">
        <v>847</v>
      </c>
      <c r="M38" s="87" t="s">
        <v>847</v>
      </c>
      <c r="N38" s="87" t="s">
        <v>847</v>
      </c>
      <c r="O38" s="90" t="s">
        <v>848</v>
      </c>
      <c r="P38" s="90" t="s">
        <v>1614</v>
      </c>
      <c r="Q38" s="90" t="s">
        <v>849</v>
      </c>
      <c r="R38" s="90" t="s">
        <v>848</v>
      </c>
      <c r="S38" s="90" t="s">
        <v>848</v>
      </c>
      <c r="T38" s="90" t="s">
        <v>848</v>
      </c>
      <c r="U38" s="90" t="s">
        <v>849</v>
      </c>
      <c r="V38" s="89" t="s">
        <v>849</v>
      </c>
      <c r="W38" s="87">
        <f t="shared" si="2"/>
        <v>18</v>
      </c>
      <c r="X38" s="87" t="str">
        <f t="shared" si="3"/>
        <v>Alto</v>
      </c>
      <c r="Y38" s="87" t="s">
        <v>851</v>
      </c>
      <c r="Z38" s="87" t="s">
        <v>1852</v>
      </c>
      <c r="AA38" s="87" t="s">
        <v>1853</v>
      </c>
    </row>
    <row r="39" spans="1:27" customFormat="1" ht="35.25" customHeight="1">
      <c r="A39" s="86" t="s">
        <v>1854</v>
      </c>
      <c r="B39" s="86" t="s">
        <v>1855</v>
      </c>
      <c r="C39" s="87" t="s">
        <v>1856</v>
      </c>
      <c r="D39" s="87" t="s">
        <v>1568</v>
      </c>
      <c r="E39" s="87" t="s">
        <v>459</v>
      </c>
      <c r="F39" s="87" t="s">
        <v>25</v>
      </c>
      <c r="G39" s="87" t="s">
        <v>1857</v>
      </c>
      <c r="H39" s="88" t="s">
        <v>1858</v>
      </c>
      <c r="I39" s="87" t="s">
        <v>1577</v>
      </c>
      <c r="J39" s="89" t="s">
        <v>1851</v>
      </c>
      <c r="K39" s="87" t="s">
        <v>847</v>
      </c>
      <c r="L39" s="87" t="s">
        <v>847</v>
      </c>
      <c r="M39" s="87" t="s">
        <v>847</v>
      </c>
      <c r="N39" s="87" t="s">
        <v>847</v>
      </c>
      <c r="O39" s="90" t="s">
        <v>849</v>
      </c>
      <c r="P39" s="90" t="s">
        <v>1614</v>
      </c>
      <c r="Q39" s="90" t="s">
        <v>848</v>
      </c>
      <c r="R39" s="90" t="s">
        <v>848</v>
      </c>
      <c r="S39" s="90" t="s">
        <v>848</v>
      </c>
      <c r="T39" s="90" t="s">
        <v>848</v>
      </c>
      <c r="U39" s="90" t="s">
        <v>849</v>
      </c>
      <c r="V39" s="89" t="s">
        <v>849</v>
      </c>
      <c r="W39" s="87">
        <f t="shared" si="2"/>
        <v>18</v>
      </c>
      <c r="X39" s="87" t="str">
        <f t="shared" si="3"/>
        <v>Alto</v>
      </c>
      <c r="Y39" s="87" t="s">
        <v>851</v>
      </c>
      <c r="Z39" s="87" t="s">
        <v>1859</v>
      </c>
      <c r="AA39" s="87" t="s">
        <v>1860</v>
      </c>
    </row>
    <row r="40" spans="1:27" customFormat="1" ht="35.25" customHeight="1">
      <c r="A40" s="86" t="s">
        <v>1861</v>
      </c>
      <c r="B40" s="86" t="s">
        <v>1862</v>
      </c>
      <c r="C40" s="87" t="s">
        <v>1863</v>
      </c>
      <c r="D40" s="87" t="s">
        <v>1568</v>
      </c>
      <c r="E40" s="87" t="s">
        <v>1864</v>
      </c>
      <c r="F40" s="87" t="s">
        <v>25</v>
      </c>
      <c r="G40" s="87" t="s">
        <v>1865</v>
      </c>
      <c r="H40" s="88" t="s">
        <v>1866</v>
      </c>
      <c r="I40" s="87" t="s">
        <v>1577</v>
      </c>
      <c r="J40" s="89" t="s">
        <v>1867</v>
      </c>
      <c r="K40" s="87" t="s">
        <v>847</v>
      </c>
      <c r="L40" s="87" t="s">
        <v>847</v>
      </c>
      <c r="M40" s="87" t="s">
        <v>847</v>
      </c>
      <c r="N40" s="87" t="s">
        <v>847</v>
      </c>
      <c r="O40" s="90" t="s">
        <v>849</v>
      </c>
      <c r="P40" s="90" t="s">
        <v>1614</v>
      </c>
      <c r="Q40" s="90" t="s">
        <v>849</v>
      </c>
      <c r="R40" s="90" t="s">
        <v>848</v>
      </c>
      <c r="S40" s="90" t="s">
        <v>848</v>
      </c>
      <c r="T40" s="90" t="s">
        <v>848</v>
      </c>
      <c r="U40" s="90" t="s">
        <v>849</v>
      </c>
      <c r="V40" s="89" t="s">
        <v>849</v>
      </c>
      <c r="W40" s="87">
        <f t="shared" si="2"/>
        <v>17</v>
      </c>
      <c r="X40" s="87" t="str">
        <f t="shared" si="3"/>
        <v>Alto</v>
      </c>
      <c r="Y40" s="87" t="s">
        <v>851</v>
      </c>
      <c r="Z40" s="87" t="s">
        <v>1868</v>
      </c>
      <c r="AA40" s="87" t="s">
        <v>1869</v>
      </c>
    </row>
    <row r="41" spans="1:27" customFormat="1" ht="35.25" customHeight="1">
      <c r="A41" s="86" t="s">
        <v>1870</v>
      </c>
      <c r="B41" s="86" t="s">
        <v>1871</v>
      </c>
      <c r="C41" s="87" t="s">
        <v>1872</v>
      </c>
      <c r="D41" s="87" t="s">
        <v>1568</v>
      </c>
      <c r="E41" s="87" t="s">
        <v>1691</v>
      </c>
      <c r="F41" s="87" t="s">
        <v>25</v>
      </c>
      <c r="G41" s="87" t="s">
        <v>1873</v>
      </c>
      <c r="H41" s="88" t="s">
        <v>1850</v>
      </c>
      <c r="I41" s="87" t="s">
        <v>1577</v>
      </c>
      <c r="J41" s="89" t="s">
        <v>1851</v>
      </c>
      <c r="K41" s="87" t="s">
        <v>847</v>
      </c>
      <c r="L41" s="87" t="s">
        <v>847</v>
      </c>
      <c r="M41" s="87" t="s">
        <v>847</v>
      </c>
      <c r="N41" s="87" t="s">
        <v>847</v>
      </c>
      <c r="O41" s="90" t="s">
        <v>848</v>
      </c>
      <c r="P41" s="90" t="s">
        <v>1614</v>
      </c>
      <c r="Q41" s="90" t="s">
        <v>848</v>
      </c>
      <c r="R41" s="90" t="s">
        <v>848</v>
      </c>
      <c r="S41" s="90" t="s">
        <v>848</v>
      </c>
      <c r="T41" s="90" t="s">
        <v>848</v>
      </c>
      <c r="U41" s="90" t="s">
        <v>849</v>
      </c>
      <c r="V41" s="89" t="s">
        <v>849</v>
      </c>
      <c r="W41" s="87">
        <f t="shared" si="2"/>
        <v>19</v>
      </c>
      <c r="X41" s="87" t="str">
        <f t="shared" si="3"/>
        <v>Crítico</v>
      </c>
      <c r="Y41" s="87" t="s">
        <v>851</v>
      </c>
      <c r="Z41" s="87" t="s">
        <v>1874</v>
      </c>
      <c r="AA41" s="87" t="s">
        <v>1875</v>
      </c>
    </row>
    <row r="42" spans="1:27" customFormat="1" ht="35.25" customHeight="1">
      <c r="A42" s="86" t="s">
        <v>1876</v>
      </c>
      <c r="B42" s="86" t="s">
        <v>1877</v>
      </c>
      <c r="C42" s="87" t="s">
        <v>1878</v>
      </c>
      <c r="D42" s="87" t="s">
        <v>1568</v>
      </c>
      <c r="E42" s="87" t="s">
        <v>459</v>
      </c>
      <c r="F42" s="87" t="s">
        <v>25</v>
      </c>
      <c r="G42" s="87" t="s">
        <v>1879</v>
      </c>
      <c r="H42" s="88" t="s">
        <v>1880</v>
      </c>
      <c r="I42" s="87" t="s">
        <v>1577</v>
      </c>
      <c r="J42" s="89" t="s">
        <v>1881</v>
      </c>
      <c r="K42" s="87" t="s">
        <v>847</v>
      </c>
      <c r="L42" s="87" t="s">
        <v>847</v>
      </c>
      <c r="M42" s="87" t="s">
        <v>847</v>
      </c>
      <c r="N42" s="87" t="s">
        <v>847</v>
      </c>
      <c r="O42" s="90" t="s">
        <v>848</v>
      </c>
      <c r="P42" s="90" t="s">
        <v>1614</v>
      </c>
      <c r="Q42" s="90" t="s">
        <v>849</v>
      </c>
      <c r="R42" s="90" t="s">
        <v>848</v>
      </c>
      <c r="S42" s="90" t="s">
        <v>848</v>
      </c>
      <c r="T42" s="90" t="s">
        <v>848</v>
      </c>
      <c r="U42" s="90" t="s">
        <v>849</v>
      </c>
      <c r="V42" s="89" t="s">
        <v>849</v>
      </c>
      <c r="W42" s="87">
        <f t="shared" si="2"/>
        <v>18</v>
      </c>
      <c r="X42" s="87" t="str">
        <f t="shared" si="3"/>
        <v>Alto</v>
      </c>
      <c r="Y42" s="87" t="s">
        <v>851</v>
      </c>
      <c r="Z42" s="87" t="s">
        <v>1882</v>
      </c>
      <c r="AA42" s="87" t="s">
        <v>1883</v>
      </c>
    </row>
    <row r="43" spans="1:27" customFormat="1" ht="35.25" customHeight="1">
      <c r="A43" s="86" t="s">
        <v>1884</v>
      </c>
      <c r="B43" s="86" t="s">
        <v>1885</v>
      </c>
      <c r="C43" s="87" t="s">
        <v>1886</v>
      </c>
      <c r="D43" s="87" t="s">
        <v>1568</v>
      </c>
      <c r="E43" s="87" t="s">
        <v>1691</v>
      </c>
      <c r="F43" s="87" t="s">
        <v>35</v>
      </c>
      <c r="G43" s="87" t="s">
        <v>1887</v>
      </c>
      <c r="H43" s="88" t="s">
        <v>1880</v>
      </c>
      <c r="I43" s="87" t="s">
        <v>1577</v>
      </c>
      <c r="J43" s="89" t="s">
        <v>1851</v>
      </c>
      <c r="K43" s="87" t="s">
        <v>847</v>
      </c>
      <c r="L43" s="87" t="s">
        <v>847</v>
      </c>
      <c r="M43" s="87" t="s">
        <v>847</v>
      </c>
      <c r="N43" s="87" t="s">
        <v>847</v>
      </c>
      <c r="O43" s="90" t="s">
        <v>849</v>
      </c>
      <c r="P43" s="90" t="s">
        <v>1614</v>
      </c>
      <c r="Q43" s="90" t="s">
        <v>849</v>
      </c>
      <c r="R43" s="90" t="s">
        <v>849</v>
      </c>
      <c r="S43" s="90" t="s">
        <v>848</v>
      </c>
      <c r="T43" s="90" t="s">
        <v>848</v>
      </c>
      <c r="U43" s="90" t="s">
        <v>849</v>
      </c>
      <c r="V43" s="89" t="s">
        <v>1614</v>
      </c>
      <c r="W43" s="87">
        <f t="shared" si="2"/>
        <v>14</v>
      </c>
      <c r="X43" s="87" t="str">
        <f t="shared" si="3"/>
        <v>Moderado</v>
      </c>
      <c r="Y43" s="87" t="s">
        <v>851</v>
      </c>
      <c r="Z43" s="87" t="s">
        <v>1888</v>
      </c>
      <c r="AA43" s="87" t="s">
        <v>1889</v>
      </c>
    </row>
    <row r="44" spans="1:27" customFormat="1" ht="35.25" customHeight="1">
      <c r="A44" s="86" t="s">
        <v>1890</v>
      </c>
      <c r="B44" s="86" t="s">
        <v>1891</v>
      </c>
      <c r="C44" s="87" t="s">
        <v>1892</v>
      </c>
      <c r="D44" s="87" t="s">
        <v>1568</v>
      </c>
      <c r="E44" s="87" t="s">
        <v>459</v>
      </c>
      <c r="F44" s="87" t="s">
        <v>25</v>
      </c>
      <c r="G44" s="87" t="s">
        <v>1893</v>
      </c>
      <c r="H44" s="88" t="s">
        <v>1894</v>
      </c>
      <c r="I44" s="87" t="s">
        <v>1577</v>
      </c>
      <c r="J44" s="89" t="s">
        <v>1851</v>
      </c>
      <c r="K44" s="87" t="s">
        <v>847</v>
      </c>
      <c r="L44" s="87" t="s">
        <v>847</v>
      </c>
      <c r="M44" s="87" t="s">
        <v>847</v>
      </c>
      <c r="N44" s="87" t="s">
        <v>847</v>
      </c>
      <c r="O44" s="90" t="s">
        <v>848</v>
      </c>
      <c r="P44" s="90" t="s">
        <v>1614</v>
      </c>
      <c r="Q44" s="90" t="s">
        <v>849</v>
      </c>
      <c r="R44" s="90" t="s">
        <v>848</v>
      </c>
      <c r="S44" s="90" t="s">
        <v>848</v>
      </c>
      <c r="T44" s="90" t="s">
        <v>848</v>
      </c>
      <c r="U44" s="90" t="s">
        <v>849</v>
      </c>
      <c r="V44" s="89" t="s">
        <v>849</v>
      </c>
      <c r="W44" s="87">
        <f t="shared" si="2"/>
        <v>18</v>
      </c>
      <c r="X44" s="87" t="str">
        <f t="shared" si="3"/>
        <v>Alto</v>
      </c>
      <c r="Y44" s="87" t="s">
        <v>851</v>
      </c>
      <c r="Z44" s="87" t="s">
        <v>1895</v>
      </c>
      <c r="AA44" s="87" t="s">
        <v>1896</v>
      </c>
    </row>
    <row r="45" spans="1:27" customFormat="1" ht="35.25" customHeight="1">
      <c r="A45" s="86" t="s">
        <v>1897</v>
      </c>
      <c r="B45" s="86" t="s">
        <v>1898</v>
      </c>
      <c r="C45" s="87" t="s">
        <v>1899</v>
      </c>
      <c r="D45" s="87" t="s">
        <v>1568</v>
      </c>
      <c r="E45" s="87" t="s">
        <v>448</v>
      </c>
      <c r="F45" s="87" t="s">
        <v>35</v>
      </c>
      <c r="G45" s="87" t="s">
        <v>1900</v>
      </c>
      <c r="H45" s="88" t="s">
        <v>1901</v>
      </c>
      <c r="I45" s="87" t="s">
        <v>1637</v>
      </c>
      <c r="J45" s="89" t="s">
        <v>1902</v>
      </c>
      <c r="K45" s="87" t="s">
        <v>847</v>
      </c>
      <c r="L45" s="87" t="s">
        <v>847</v>
      </c>
      <c r="M45" s="87" t="s">
        <v>847</v>
      </c>
      <c r="N45" s="87" t="s">
        <v>847</v>
      </c>
      <c r="O45" s="90" t="s">
        <v>1614</v>
      </c>
      <c r="P45" s="90" t="s">
        <v>1614</v>
      </c>
      <c r="Q45" s="90" t="s">
        <v>848</v>
      </c>
      <c r="R45" s="90" t="s">
        <v>848</v>
      </c>
      <c r="S45" s="90" t="s">
        <v>849</v>
      </c>
      <c r="T45" s="90" t="s">
        <v>848</v>
      </c>
      <c r="U45" s="90" t="s">
        <v>1614</v>
      </c>
      <c r="V45" s="89" t="s">
        <v>1614</v>
      </c>
      <c r="W45" s="87">
        <f t="shared" si="2"/>
        <v>11</v>
      </c>
      <c r="X45" s="87" t="str">
        <f t="shared" si="3"/>
        <v>Moderado</v>
      </c>
      <c r="Y45" s="87" t="s">
        <v>851</v>
      </c>
      <c r="Z45" s="87" t="s">
        <v>1903</v>
      </c>
      <c r="AA45" s="87" t="s">
        <v>1904</v>
      </c>
    </row>
    <row r="46" spans="1:27" customFormat="1" ht="35.25" customHeight="1">
      <c r="A46" s="86" t="s">
        <v>1905</v>
      </c>
      <c r="B46" s="86" t="s">
        <v>1906</v>
      </c>
      <c r="C46" s="87" t="s">
        <v>1907</v>
      </c>
      <c r="D46" s="87" t="s">
        <v>1568</v>
      </c>
      <c r="E46" s="87" t="s">
        <v>448</v>
      </c>
      <c r="F46" s="87" t="s">
        <v>35</v>
      </c>
      <c r="G46" s="87" t="s">
        <v>1908</v>
      </c>
      <c r="H46" s="88" t="s">
        <v>1858</v>
      </c>
      <c r="I46" s="87" t="s">
        <v>1637</v>
      </c>
      <c r="J46" s="89" t="s">
        <v>1902</v>
      </c>
      <c r="K46" s="87" t="s">
        <v>847</v>
      </c>
      <c r="L46" s="87" t="s">
        <v>847</v>
      </c>
      <c r="M46" s="87" t="s">
        <v>847</v>
      </c>
      <c r="N46" s="87" t="s">
        <v>847</v>
      </c>
      <c r="O46" s="90" t="s">
        <v>1614</v>
      </c>
      <c r="P46" s="90" t="s">
        <v>849</v>
      </c>
      <c r="Q46" s="90" t="s">
        <v>848</v>
      </c>
      <c r="R46" s="90" t="s">
        <v>848</v>
      </c>
      <c r="S46" s="90" t="s">
        <v>849</v>
      </c>
      <c r="T46" s="90" t="s">
        <v>848</v>
      </c>
      <c r="U46" s="90" t="s">
        <v>1614</v>
      </c>
      <c r="V46" s="89" t="s">
        <v>1614</v>
      </c>
      <c r="W46" s="87">
        <f t="shared" si="2"/>
        <v>13</v>
      </c>
      <c r="X46" s="87" t="str">
        <f t="shared" si="3"/>
        <v>Moderado</v>
      </c>
      <c r="Y46" s="87" t="s">
        <v>851</v>
      </c>
      <c r="Z46" s="87" t="s">
        <v>1909</v>
      </c>
      <c r="AA46" s="87" t="s">
        <v>1910</v>
      </c>
    </row>
    <row r="47" spans="1:27" customFormat="1" ht="35.25" customHeight="1">
      <c r="A47" s="86" t="s">
        <v>1911</v>
      </c>
      <c r="B47" s="86" t="s">
        <v>1912</v>
      </c>
      <c r="C47" s="87" t="s">
        <v>1913</v>
      </c>
      <c r="D47" s="87" t="s">
        <v>1568</v>
      </c>
      <c r="E47" s="87" t="s">
        <v>448</v>
      </c>
      <c r="F47" s="87" t="s">
        <v>35</v>
      </c>
      <c r="G47" s="87" t="s">
        <v>1914</v>
      </c>
      <c r="H47" s="88" t="s">
        <v>1915</v>
      </c>
      <c r="I47" s="87" t="s">
        <v>1637</v>
      </c>
      <c r="J47" s="89" t="s">
        <v>1902</v>
      </c>
      <c r="K47" s="87" t="s">
        <v>847</v>
      </c>
      <c r="L47" s="87" t="s">
        <v>847</v>
      </c>
      <c r="M47" s="87" t="s">
        <v>847</v>
      </c>
      <c r="N47" s="87" t="s">
        <v>847</v>
      </c>
      <c r="O47" s="90" t="s">
        <v>1614</v>
      </c>
      <c r="P47" s="90" t="s">
        <v>1614</v>
      </c>
      <c r="Q47" s="90" t="s">
        <v>848</v>
      </c>
      <c r="R47" s="90" t="s">
        <v>848</v>
      </c>
      <c r="S47" s="90" t="s">
        <v>849</v>
      </c>
      <c r="T47" s="90" t="s">
        <v>848</v>
      </c>
      <c r="U47" s="90" t="s">
        <v>1614</v>
      </c>
      <c r="V47" s="89" t="s">
        <v>1614</v>
      </c>
      <c r="W47" s="87">
        <f t="shared" si="2"/>
        <v>11</v>
      </c>
      <c r="X47" s="87" t="str">
        <f t="shared" si="3"/>
        <v>Moderado</v>
      </c>
      <c r="Y47" s="87" t="s">
        <v>851</v>
      </c>
      <c r="Z47" s="87" t="s">
        <v>1916</v>
      </c>
      <c r="AA47" s="87" t="s">
        <v>1917</v>
      </c>
    </row>
    <row r="48" spans="1:27" customFormat="1" ht="35.25" customHeight="1">
      <c r="A48" s="86" t="s">
        <v>1918</v>
      </c>
      <c r="B48" s="86" t="s">
        <v>1919</v>
      </c>
      <c r="C48" s="87" t="s">
        <v>1920</v>
      </c>
      <c r="D48" s="87" t="s">
        <v>1568</v>
      </c>
      <c r="E48" s="87" t="s">
        <v>448</v>
      </c>
      <c r="F48" s="87" t="s">
        <v>35</v>
      </c>
      <c r="G48" s="87" t="s">
        <v>1921</v>
      </c>
      <c r="H48" s="88" t="s">
        <v>1901</v>
      </c>
      <c r="I48" s="87" t="s">
        <v>1637</v>
      </c>
      <c r="J48" s="89" t="s">
        <v>1902</v>
      </c>
      <c r="K48" s="87" t="s">
        <v>847</v>
      </c>
      <c r="L48" s="87" t="s">
        <v>847</v>
      </c>
      <c r="M48" s="87" t="s">
        <v>847</v>
      </c>
      <c r="N48" s="87" t="s">
        <v>847</v>
      </c>
      <c r="O48" s="90" t="s">
        <v>1614</v>
      </c>
      <c r="P48" s="90" t="s">
        <v>1614</v>
      </c>
      <c r="Q48" s="90" t="s">
        <v>848</v>
      </c>
      <c r="R48" s="90" t="s">
        <v>848</v>
      </c>
      <c r="S48" s="90" t="s">
        <v>849</v>
      </c>
      <c r="T48" s="90" t="s">
        <v>848</v>
      </c>
      <c r="U48" s="90" t="s">
        <v>1614</v>
      </c>
      <c r="V48" s="89" t="s">
        <v>1614</v>
      </c>
      <c r="W48" s="87">
        <f t="shared" si="2"/>
        <v>11</v>
      </c>
      <c r="X48" s="87" t="str">
        <f t="shared" si="3"/>
        <v>Moderado</v>
      </c>
      <c r="Y48" s="87" t="s">
        <v>851</v>
      </c>
      <c r="Z48" s="87" t="s">
        <v>1922</v>
      </c>
      <c r="AA48" s="87" t="s">
        <v>1923</v>
      </c>
    </row>
    <row r="49" spans="1:27" customFormat="1" ht="35.25" customHeight="1">
      <c r="A49" s="86" t="s">
        <v>1924</v>
      </c>
      <c r="B49" s="86" t="s">
        <v>1925</v>
      </c>
      <c r="C49" s="87" t="s">
        <v>1926</v>
      </c>
      <c r="D49" s="87" t="s">
        <v>1568</v>
      </c>
      <c r="E49" s="87" t="s">
        <v>1791</v>
      </c>
      <c r="F49" s="87" t="s">
        <v>35</v>
      </c>
      <c r="G49" s="87" t="s">
        <v>1927</v>
      </c>
      <c r="H49" s="88" t="s">
        <v>1901</v>
      </c>
      <c r="I49" s="87" t="s">
        <v>1637</v>
      </c>
      <c r="J49" s="89" t="s">
        <v>1928</v>
      </c>
      <c r="K49" s="87" t="s">
        <v>847</v>
      </c>
      <c r="L49" s="87" t="s">
        <v>847</v>
      </c>
      <c r="M49" s="87" t="s">
        <v>847</v>
      </c>
      <c r="N49" s="87" t="s">
        <v>847</v>
      </c>
      <c r="O49" s="90" t="s">
        <v>1614</v>
      </c>
      <c r="P49" s="90" t="s">
        <v>1614</v>
      </c>
      <c r="Q49" s="90" t="s">
        <v>848</v>
      </c>
      <c r="R49" s="90" t="s">
        <v>848</v>
      </c>
      <c r="S49" s="90" t="s">
        <v>849</v>
      </c>
      <c r="T49" s="90" t="s">
        <v>848</v>
      </c>
      <c r="U49" s="90" t="s">
        <v>848</v>
      </c>
      <c r="V49" s="89" t="s">
        <v>1614</v>
      </c>
      <c r="W49" s="87">
        <f t="shared" si="2"/>
        <v>14</v>
      </c>
      <c r="X49" s="87" t="str">
        <f t="shared" si="3"/>
        <v>Moderado</v>
      </c>
      <c r="Y49" s="87" t="s">
        <v>851</v>
      </c>
      <c r="Z49" s="87" t="s">
        <v>1929</v>
      </c>
      <c r="AA49" s="87" t="s">
        <v>1930</v>
      </c>
    </row>
    <row r="50" spans="1:27" customFormat="1" ht="35.25" customHeight="1">
      <c r="A50" s="86" t="s">
        <v>1931</v>
      </c>
      <c r="B50" s="86" t="s">
        <v>1932</v>
      </c>
      <c r="C50" s="87" t="s">
        <v>1933</v>
      </c>
      <c r="D50" s="87" t="s">
        <v>1568</v>
      </c>
      <c r="E50" s="87" t="s">
        <v>1296</v>
      </c>
      <c r="F50" s="87" t="s">
        <v>239</v>
      </c>
      <c r="G50" s="87" t="s">
        <v>1934</v>
      </c>
      <c r="H50" s="88" t="s">
        <v>1669</v>
      </c>
      <c r="I50" s="87" t="s">
        <v>409</v>
      </c>
      <c r="J50" s="89" t="s">
        <v>1935</v>
      </c>
      <c r="K50" s="87" t="s">
        <v>847</v>
      </c>
      <c r="L50" s="87" t="s">
        <v>847</v>
      </c>
      <c r="M50" s="87" t="s">
        <v>847</v>
      </c>
      <c r="N50" s="87" t="s">
        <v>847</v>
      </c>
      <c r="O50" s="90" t="s">
        <v>848</v>
      </c>
      <c r="P50" s="90" t="s">
        <v>1614</v>
      </c>
      <c r="Q50" s="90" t="s">
        <v>1614</v>
      </c>
      <c r="R50" s="90" t="s">
        <v>1614</v>
      </c>
      <c r="S50" s="90" t="s">
        <v>849</v>
      </c>
      <c r="T50" s="90" t="s">
        <v>1614</v>
      </c>
      <c r="U50" s="90" t="s">
        <v>1614</v>
      </c>
      <c r="V50" s="89" t="s">
        <v>848</v>
      </c>
      <c r="W50" s="87">
        <f t="shared" si="2"/>
        <v>8</v>
      </c>
      <c r="X50" s="87" t="str">
        <f t="shared" si="3"/>
        <v>Baixo</v>
      </c>
      <c r="Y50" s="87" t="s">
        <v>851</v>
      </c>
      <c r="Z50" s="87" t="s">
        <v>1936</v>
      </c>
      <c r="AA50" s="87" t="s">
        <v>1937</v>
      </c>
    </row>
    <row r="51" spans="1:27" customFormat="1" ht="35.25" customHeight="1">
      <c r="A51" s="86" t="s">
        <v>1938</v>
      </c>
      <c r="B51" s="86" t="s">
        <v>1939</v>
      </c>
      <c r="C51" s="87" t="s">
        <v>1940</v>
      </c>
      <c r="D51" s="87" t="s">
        <v>1568</v>
      </c>
      <c r="E51" s="87" t="s">
        <v>1296</v>
      </c>
      <c r="F51" s="87" t="s">
        <v>239</v>
      </c>
      <c r="G51" s="87" t="s">
        <v>1941</v>
      </c>
      <c r="H51" s="88" t="s">
        <v>1669</v>
      </c>
      <c r="I51" s="87" t="s">
        <v>1592</v>
      </c>
      <c r="J51" s="89" t="s">
        <v>1942</v>
      </c>
      <c r="K51" s="87" t="s">
        <v>847</v>
      </c>
      <c r="L51" s="87" t="s">
        <v>847</v>
      </c>
      <c r="M51" s="87" t="s">
        <v>847</v>
      </c>
      <c r="N51" s="87" t="s">
        <v>847</v>
      </c>
      <c r="O51" s="90" t="s">
        <v>848</v>
      </c>
      <c r="P51" s="90" t="s">
        <v>1614</v>
      </c>
      <c r="Q51" s="90" t="s">
        <v>1614</v>
      </c>
      <c r="R51" s="90" t="s">
        <v>1614</v>
      </c>
      <c r="S51" s="90" t="s">
        <v>849</v>
      </c>
      <c r="T51" s="90" t="s">
        <v>1614</v>
      </c>
      <c r="U51" s="90" t="s">
        <v>1614</v>
      </c>
      <c r="V51" s="89" t="s">
        <v>848</v>
      </c>
      <c r="W51" s="87">
        <f t="shared" si="2"/>
        <v>8</v>
      </c>
      <c r="X51" s="87" t="str">
        <f t="shared" si="3"/>
        <v>Baixo</v>
      </c>
      <c r="Y51" s="87" t="s">
        <v>851</v>
      </c>
      <c r="Z51" s="87" t="s">
        <v>1943</v>
      </c>
      <c r="AA51" s="87" t="s">
        <v>1944</v>
      </c>
    </row>
    <row r="52" spans="1:27" customFormat="1" ht="35.25" customHeight="1">
      <c r="A52" s="86" t="s">
        <v>1945</v>
      </c>
      <c r="B52" s="86" t="s">
        <v>1946</v>
      </c>
      <c r="C52" s="87" t="s">
        <v>1947</v>
      </c>
      <c r="D52" s="87" t="s">
        <v>1568</v>
      </c>
      <c r="E52" s="87" t="s">
        <v>1296</v>
      </c>
      <c r="F52" s="87" t="s">
        <v>239</v>
      </c>
      <c r="G52" s="87" t="s">
        <v>1948</v>
      </c>
      <c r="H52" s="87" t="s">
        <v>1669</v>
      </c>
      <c r="I52" s="87" t="s">
        <v>1577</v>
      </c>
      <c r="J52" s="87" t="s">
        <v>1949</v>
      </c>
      <c r="K52" s="87" t="s">
        <v>847</v>
      </c>
      <c r="L52" s="87" t="s">
        <v>847</v>
      </c>
      <c r="M52" s="87" t="s">
        <v>847</v>
      </c>
      <c r="N52" s="87" t="s">
        <v>847</v>
      </c>
      <c r="O52" s="90" t="s">
        <v>848</v>
      </c>
      <c r="P52" s="90" t="s">
        <v>1614</v>
      </c>
      <c r="Q52" s="90" t="s">
        <v>1614</v>
      </c>
      <c r="R52" s="90" t="s">
        <v>1614</v>
      </c>
      <c r="S52" s="90" t="s">
        <v>849</v>
      </c>
      <c r="T52" s="90" t="s">
        <v>848</v>
      </c>
      <c r="U52" s="90" t="s">
        <v>1614</v>
      </c>
      <c r="V52" s="89" t="s">
        <v>848</v>
      </c>
      <c r="W52" s="87">
        <f t="shared" si="2"/>
        <v>11</v>
      </c>
      <c r="X52" s="87" t="str">
        <f t="shared" si="3"/>
        <v>Moderado</v>
      </c>
      <c r="Y52" s="87" t="s">
        <v>851</v>
      </c>
      <c r="Z52" s="87" t="s">
        <v>1950</v>
      </c>
      <c r="AA52" s="87" t="s">
        <v>1951</v>
      </c>
    </row>
    <row r="53" spans="1:27" customFormat="1" ht="35.25" customHeight="1">
      <c r="A53" s="86" t="s">
        <v>1952</v>
      </c>
      <c r="B53" s="86" t="s">
        <v>1953</v>
      </c>
      <c r="C53" s="87" t="s">
        <v>1954</v>
      </c>
      <c r="D53" s="87" t="s">
        <v>1568</v>
      </c>
      <c r="E53" s="87" t="s">
        <v>1296</v>
      </c>
      <c r="F53" s="87" t="s">
        <v>239</v>
      </c>
      <c r="G53" s="87" t="s">
        <v>1955</v>
      </c>
      <c r="H53" s="87" t="s">
        <v>1669</v>
      </c>
      <c r="I53" s="87" t="s">
        <v>231</v>
      </c>
      <c r="J53" s="87" t="s">
        <v>1956</v>
      </c>
      <c r="K53" s="87" t="s">
        <v>847</v>
      </c>
      <c r="L53" s="87" t="s">
        <v>847</v>
      </c>
      <c r="M53" s="87" t="s">
        <v>847</v>
      </c>
      <c r="N53" s="87" t="s">
        <v>847</v>
      </c>
      <c r="O53" s="90" t="s">
        <v>848</v>
      </c>
      <c r="P53" s="90" t="s">
        <v>1614</v>
      </c>
      <c r="Q53" s="90" t="s">
        <v>1614</v>
      </c>
      <c r="R53" s="90" t="s">
        <v>1614</v>
      </c>
      <c r="S53" s="90" t="s">
        <v>849</v>
      </c>
      <c r="T53" s="90" t="s">
        <v>1614</v>
      </c>
      <c r="U53" s="90" t="s">
        <v>1614</v>
      </c>
      <c r="V53" s="89" t="s">
        <v>848</v>
      </c>
      <c r="W53" s="87">
        <f t="shared" si="2"/>
        <v>8</v>
      </c>
      <c r="X53" s="87" t="str">
        <f t="shared" si="3"/>
        <v>Baixo</v>
      </c>
      <c r="Y53" s="87" t="s">
        <v>851</v>
      </c>
      <c r="Z53" s="87" t="s">
        <v>1957</v>
      </c>
      <c r="AA53" s="87" t="s">
        <v>1958</v>
      </c>
    </row>
    <row r="54" spans="1:27" customFormat="1" ht="35.25" customHeight="1">
      <c r="A54" s="86" t="s">
        <v>1959</v>
      </c>
      <c r="B54" s="86" t="s">
        <v>1960</v>
      </c>
      <c r="C54" s="87" t="s">
        <v>1961</v>
      </c>
      <c r="D54" s="87" t="s">
        <v>1568</v>
      </c>
      <c r="E54" s="87" t="s">
        <v>1296</v>
      </c>
      <c r="F54" s="87" t="s">
        <v>239</v>
      </c>
      <c r="G54" s="87" t="s">
        <v>1962</v>
      </c>
      <c r="H54" s="87" t="s">
        <v>1661</v>
      </c>
      <c r="I54" s="87" t="s">
        <v>231</v>
      </c>
      <c r="J54" s="87" t="s">
        <v>1963</v>
      </c>
      <c r="K54" s="87" t="s">
        <v>847</v>
      </c>
      <c r="L54" s="87" t="s">
        <v>847</v>
      </c>
      <c r="M54" s="87" t="s">
        <v>847</v>
      </c>
      <c r="N54" s="87" t="s">
        <v>847</v>
      </c>
      <c r="O54" s="90" t="s">
        <v>848</v>
      </c>
      <c r="P54" s="90" t="s">
        <v>1614</v>
      </c>
      <c r="Q54" s="90" t="s">
        <v>1614</v>
      </c>
      <c r="R54" s="90" t="s">
        <v>1614</v>
      </c>
      <c r="S54" s="90" t="s">
        <v>849</v>
      </c>
      <c r="T54" s="90" t="s">
        <v>1614</v>
      </c>
      <c r="U54" s="90" t="s">
        <v>1614</v>
      </c>
      <c r="V54" s="89" t="s">
        <v>848</v>
      </c>
      <c r="W54" s="87">
        <f t="shared" si="2"/>
        <v>8</v>
      </c>
      <c r="X54" s="87" t="str">
        <f t="shared" si="3"/>
        <v>Baixo</v>
      </c>
      <c r="Y54" s="87" t="s">
        <v>851</v>
      </c>
      <c r="Z54" s="87" t="s">
        <v>1964</v>
      </c>
      <c r="AA54" s="87" t="s">
        <v>1965</v>
      </c>
    </row>
    <row r="55" spans="1:27" customFormat="1" ht="35.25" customHeight="1">
      <c r="A55" s="86" t="s">
        <v>1966</v>
      </c>
      <c r="B55" s="86" t="s">
        <v>1967</v>
      </c>
      <c r="C55" s="87" t="s">
        <v>1968</v>
      </c>
      <c r="D55" s="87" t="s">
        <v>1568</v>
      </c>
      <c r="E55" s="87" t="s">
        <v>1969</v>
      </c>
      <c r="F55" s="87" t="s">
        <v>35</v>
      </c>
      <c r="G55" s="87" t="s">
        <v>1970</v>
      </c>
      <c r="H55" s="87" t="s">
        <v>1971</v>
      </c>
      <c r="I55" s="87" t="s">
        <v>409</v>
      </c>
      <c r="J55" s="87" t="s">
        <v>1972</v>
      </c>
      <c r="K55" s="87" t="s">
        <v>847</v>
      </c>
      <c r="L55" s="87" t="s">
        <v>847</v>
      </c>
      <c r="M55" s="87" t="s">
        <v>847</v>
      </c>
      <c r="N55" s="87" t="s">
        <v>847</v>
      </c>
      <c r="O55" s="90" t="s">
        <v>849</v>
      </c>
      <c r="P55" s="90" t="s">
        <v>1614</v>
      </c>
      <c r="Q55" s="90" t="s">
        <v>849</v>
      </c>
      <c r="R55" s="90" t="s">
        <v>848</v>
      </c>
      <c r="S55" s="90" t="s">
        <v>848</v>
      </c>
      <c r="T55" s="90" t="s">
        <v>849</v>
      </c>
      <c r="U55" s="90" t="s">
        <v>849</v>
      </c>
      <c r="V55" s="89" t="s">
        <v>1614</v>
      </c>
      <c r="W55" s="87">
        <f t="shared" si="2"/>
        <v>14</v>
      </c>
      <c r="X55" s="87" t="str">
        <f t="shared" si="3"/>
        <v>Moderado</v>
      </c>
      <c r="Y55" s="87" t="s">
        <v>1704</v>
      </c>
      <c r="Z55" s="87" t="s">
        <v>1973</v>
      </c>
      <c r="AA55" s="87" t="s">
        <v>1974</v>
      </c>
    </row>
    <row r="56" spans="1:27" customFormat="1" ht="35.25" customHeight="1">
      <c r="A56" s="86" t="s">
        <v>1975</v>
      </c>
      <c r="B56" s="86" t="s">
        <v>1976</v>
      </c>
      <c r="C56" s="87" t="s">
        <v>1977</v>
      </c>
      <c r="D56" s="87" t="s">
        <v>1568</v>
      </c>
      <c r="E56" s="87" t="s">
        <v>964</v>
      </c>
      <c r="F56" s="87" t="s">
        <v>35</v>
      </c>
      <c r="G56" s="87" t="s">
        <v>1978</v>
      </c>
      <c r="H56" s="87" t="s">
        <v>1971</v>
      </c>
      <c r="I56" s="87" t="s">
        <v>1637</v>
      </c>
      <c r="J56" s="87" t="s">
        <v>1972</v>
      </c>
      <c r="K56" s="87" t="s">
        <v>847</v>
      </c>
      <c r="L56" s="87" t="s">
        <v>847</v>
      </c>
      <c r="M56" s="87" t="s">
        <v>847</v>
      </c>
      <c r="N56" s="87" t="s">
        <v>847</v>
      </c>
      <c r="O56" s="90" t="s">
        <v>849</v>
      </c>
      <c r="P56" s="90" t="s">
        <v>1614</v>
      </c>
      <c r="Q56" s="90" t="s">
        <v>849</v>
      </c>
      <c r="R56" s="90" t="s">
        <v>848</v>
      </c>
      <c r="S56" s="90" t="s">
        <v>848</v>
      </c>
      <c r="T56" s="90" t="s">
        <v>849</v>
      </c>
      <c r="U56" s="90" t="s">
        <v>849</v>
      </c>
      <c r="V56" s="89" t="s">
        <v>1614</v>
      </c>
      <c r="W56" s="87">
        <f t="shared" si="2"/>
        <v>14</v>
      </c>
      <c r="X56" s="87" t="str">
        <f t="shared" si="3"/>
        <v>Moderado</v>
      </c>
      <c r="Y56" s="87" t="s">
        <v>1979</v>
      </c>
      <c r="Z56" s="87" t="s">
        <v>1980</v>
      </c>
      <c r="AA56" s="87" t="s">
        <v>1981</v>
      </c>
    </row>
    <row r="57" spans="1:27" customFormat="1" ht="35.25" customHeight="1">
      <c r="A57" s="86" t="s">
        <v>1982</v>
      </c>
      <c r="B57" s="86" t="s">
        <v>1983</v>
      </c>
      <c r="C57" s="87" t="s">
        <v>1984</v>
      </c>
      <c r="D57" s="87" t="s">
        <v>1568</v>
      </c>
      <c r="E57" s="87" t="s">
        <v>1735</v>
      </c>
      <c r="F57" s="87" t="s">
        <v>35</v>
      </c>
      <c r="G57" s="87" t="s">
        <v>1985</v>
      </c>
      <c r="H57" s="87" t="s">
        <v>1971</v>
      </c>
      <c r="I57" s="87" t="s">
        <v>1637</v>
      </c>
      <c r="J57" s="87" t="s">
        <v>1986</v>
      </c>
      <c r="K57" s="87" t="s">
        <v>847</v>
      </c>
      <c r="L57" s="87" t="s">
        <v>847</v>
      </c>
      <c r="M57" s="87" t="s">
        <v>847</v>
      </c>
      <c r="N57" s="87" t="s">
        <v>847</v>
      </c>
      <c r="O57" s="90" t="s">
        <v>1614</v>
      </c>
      <c r="P57" s="90" t="s">
        <v>1614</v>
      </c>
      <c r="Q57" s="90" t="s">
        <v>848</v>
      </c>
      <c r="R57" s="90" t="s">
        <v>848</v>
      </c>
      <c r="S57" s="90" t="s">
        <v>849</v>
      </c>
      <c r="T57" s="90" t="s">
        <v>849</v>
      </c>
      <c r="U57" s="90" t="s">
        <v>1614</v>
      </c>
      <c r="V57" s="89" t="s">
        <v>1614</v>
      </c>
      <c r="W57" s="87">
        <f t="shared" si="2"/>
        <v>10</v>
      </c>
      <c r="X57" s="87" t="str">
        <f t="shared" si="3"/>
        <v>Moderado</v>
      </c>
      <c r="Y57" s="87" t="s">
        <v>1979</v>
      </c>
      <c r="Z57" s="87" t="s">
        <v>1987</v>
      </c>
      <c r="AA57" s="87" t="s">
        <v>1988</v>
      </c>
    </row>
    <row r="58" spans="1:27" customFormat="1" ht="35.25" customHeight="1">
      <c r="A58" s="86" t="s">
        <v>1989</v>
      </c>
      <c r="B58" s="86" t="s">
        <v>1990</v>
      </c>
      <c r="C58" s="87" t="s">
        <v>1991</v>
      </c>
      <c r="D58" s="87" t="s">
        <v>1568</v>
      </c>
      <c r="E58" s="87" t="s">
        <v>459</v>
      </c>
      <c r="F58" s="87" t="s">
        <v>25</v>
      </c>
      <c r="G58" s="87" t="s">
        <v>1992</v>
      </c>
      <c r="H58" s="87" t="s">
        <v>1746</v>
      </c>
      <c r="I58" s="87" t="s">
        <v>1577</v>
      </c>
      <c r="J58" s="87" t="s">
        <v>1993</v>
      </c>
      <c r="K58" s="87" t="s">
        <v>847</v>
      </c>
      <c r="L58" s="87" t="s">
        <v>847</v>
      </c>
      <c r="M58" s="87" t="s">
        <v>847</v>
      </c>
      <c r="N58" s="87" t="s">
        <v>847</v>
      </c>
      <c r="O58" s="90" t="s">
        <v>849</v>
      </c>
      <c r="P58" s="90" t="s">
        <v>1614</v>
      </c>
      <c r="Q58" s="90" t="s">
        <v>849</v>
      </c>
      <c r="R58" s="90" t="s">
        <v>848</v>
      </c>
      <c r="S58" s="90" t="s">
        <v>848</v>
      </c>
      <c r="T58" s="90" t="s">
        <v>848</v>
      </c>
      <c r="U58" s="90" t="s">
        <v>849</v>
      </c>
      <c r="V58" s="89" t="s">
        <v>1614</v>
      </c>
      <c r="W58" s="87">
        <f t="shared" si="2"/>
        <v>15</v>
      </c>
      <c r="X58" s="87" t="str">
        <f t="shared" si="3"/>
        <v>Alto</v>
      </c>
      <c r="Y58" s="87" t="s">
        <v>851</v>
      </c>
      <c r="Z58" s="87" t="s">
        <v>1994</v>
      </c>
      <c r="AA58" s="87" t="s">
        <v>1995</v>
      </c>
    </row>
    <row r="59" spans="1:27" customFormat="1" ht="35.25" customHeight="1">
      <c r="A59" s="86" t="s">
        <v>1996</v>
      </c>
      <c r="B59" s="86" t="s">
        <v>1997</v>
      </c>
      <c r="C59" s="87" t="s">
        <v>1998</v>
      </c>
      <c r="D59" s="87" t="s">
        <v>1568</v>
      </c>
      <c r="E59" s="87" t="s">
        <v>1864</v>
      </c>
      <c r="F59" s="87" t="s">
        <v>25</v>
      </c>
      <c r="G59" s="87" t="s">
        <v>1999</v>
      </c>
      <c r="H59" s="87" t="s">
        <v>1684</v>
      </c>
      <c r="I59" s="87" t="s">
        <v>1577</v>
      </c>
      <c r="J59" s="87" t="s">
        <v>2000</v>
      </c>
      <c r="K59" s="87" t="s">
        <v>847</v>
      </c>
      <c r="L59" s="87" t="s">
        <v>847</v>
      </c>
      <c r="M59" s="87" t="s">
        <v>847</v>
      </c>
      <c r="N59" s="87" t="s">
        <v>847</v>
      </c>
      <c r="O59" s="90" t="s">
        <v>849</v>
      </c>
      <c r="P59" s="90" t="s">
        <v>849</v>
      </c>
      <c r="Q59" s="90" t="s">
        <v>849</v>
      </c>
      <c r="R59" s="90" t="s">
        <v>848</v>
      </c>
      <c r="S59" s="90" t="s">
        <v>848</v>
      </c>
      <c r="T59" s="90" t="s">
        <v>848</v>
      </c>
      <c r="U59" s="90" t="s">
        <v>849</v>
      </c>
      <c r="V59" s="89" t="s">
        <v>849</v>
      </c>
      <c r="W59" s="87">
        <f t="shared" si="2"/>
        <v>19</v>
      </c>
      <c r="X59" s="87" t="str">
        <f t="shared" si="3"/>
        <v>Crítico</v>
      </c>
      <c r="Y59" s="87" t="s">
        <v>1704</v>
      </c>
      <c r="Z59" s="87" t="s">
        <v>2001</v>
      </c>
      <c r="AA59" s="87" t="s">
        <v>2002</v>
      </c>
    </row>
    <row r="60" spans="1:27" customFormat="1" ht="35.25" customHeight="1">
      <c r="A60" s="86" t="s">
        <v>2003</v>
      </c>
      <c r="B60" s="86" t="s">
        <v>2004</v>
      </c>
      <c r="C60" s="87" t="s">
        <v>2005</v>
      </c>
      <c r="D60" s="87" t="s">
        <v>1568</v>
      </c>
      <c r="E60" s="87" t="s">
        <v>2006</v>
      </c>
      <c r="F60" s="87" t="s">
        <v>35</v>
      </c>
      <c r="G60" s="87" t="s">
        <v>2007</v>
      </c>
      <c r="H60" s="87" t="s">
        <v>1971</v>
      </c>
      <c r="I60" s="87" t="s">
        <v>409</v>
      </c>
      <c r="J60" s="87" t="s">
        <v>1972</v>
      </c>
      <c r="K60" s="87" t="s">
        <v>847</v>
      </c>
      <c r="L60" s="87" t="s">
        <v>847</v>
      </c>
      <c r="M60" s="87" t="s">
        <v>847</v>
      </c>
      <c r="N60" s="87" t="s">
        <v>847</v>
      </c>
      <c r="O60" s="90" t="s">
        <v>849</v>
      </c>
      <c r="P60" s="90" t="s">
        <v>1614</v>
      </c>
      <c r="Q60" s="90" t="s">
        <v>849</v>
      </c>
      <c r="R60" s="90" t="s">
        <v>848</v>
      </c>
      <c r="S60" s="90" t="s">
        <v>848</v>
      </c>
      <c r="T60" s="90" t="s">
        <v>849</v>
      </c>
      <c r="U60" s="90" t="s">
        <v>849</v>
      </c>
      <c r="V60" s="89" t="s">
        <v>1614</v>
      </c>
      <c r="W60" s="87">
        <f t="shared" si="2"/>
        <v>14</v>
      </c>
      <c r="X60" s="87" t="str">
        <f t="shared" si="3"/>
        <v>Moderado</v>
      </c>
      <c r="Y60" s="87" t="s">
        <v>1704</v>
      </c>
      <c r="Z60" s="87" t="s">
        <v>2008</v>
      </c>
      <c r="AA60" s="87" t="s">
        <v>2009</v>
      </c>
    </row>
    <row r="61" spans="1:27" customFormat="1" ht="35.25" customHeight="1">
      <c r="A61" s="86" t="s">
        <v>2010</v>
      </c>
      <c r="B61" s="86" t="s">
        <v>2011</v>
      </c>
      <c r="C61" s="87" t="s">
        <v>2012</v>
      </c>
      <c r="D61" s="87" t="s">
        <v>1568</v>
      </c>
      <c r="E61" s="87" t="s">
        <v>964</v>
      </c>
      <c r="F61" s="87" t="s">
        <v>22</v>
      </c>
      <c r="G61" s="87" t="s">
        <v>2013</v>
      </c>
      <c r="H61" s="87" t="s">
        <v>1971</v>
      </c>
      <c r="I61" s="87" t="s">
        <v>1637</v>
      </c>
      <c r="J61" s="87" t="s">
        <v>1986</v>
      </c>
      <c r="K61" s="87" t="s">
        <v>847</v>
      </c>
      <c r="L61" s="87" t="s">
        <v>847</v>
      </c>
      <c r="M61" s="87" t="s">
        <v>847</v>
      </c>
      <c r="N61" s="87" t="s">
        <v>847</v>
      </c>
      <c r="O61" s="90" t="s">
        <v>849</v>
      </c>
      <c r="P61" s="90" t="s">
        <v>849</v>
      </c>
      <c r="Q61" s="90" t="s">
        <v>849</v>
      </c>
      <c r="R61" s="90" t="s">
        <v>848</v>
      </c>
      <c r="S61" s="90" t="s">
        <v>848</v>
      </c>
      <c r="T61" s="90" t="s">
        <v>849</v>
      </c>
      <c r="U61" s="90" t="s">
        <v>848</v>
      </c>
      <c r="V61" s="89" t="s">
        <v>849</v>
      </c>
      <c r="W61" s="87">
        <f t="shared" si="2"/>
        <v>19</v>
      </c>
      <c r="X61" s="87" t="str">
        <f t="shared" si="3"/>
        <v>Crítico</v>
      </c>
      <c r="Y61" s="87" t="s">
        <v>1979</v>
      </c>
      <c r="Z61" s="87" t="s">
        <v>2014</v>
      </c>
      <c r="AA61" s="87" t="s">
        <v>2015</v>
      </c>
    </row>
    <row r="62" spans="1:27" customFormat="1" ht="35.25" customHeight="1">
      <c r="A62" s="86" t="s">
        <v>2016</v>
      </c>
      <c r="B62" s="86" t="s">
        <v>2017</v>
      </c>
      <c r="C62" s="87" t="s">
        <v>2018</v>
      </c>
      <c r="D62" s="87" t="s">
        <v>1568</v>
      </c>
      <c r="E62" s="87" t="s">
        <v>964</v>
      </c>
      <c r="F62" s="87" t="s">
        <v>25</v>
      </c>
      <c r="G62" s="87" t="s">
        <v>2019</v>
      </c>
      <c r="H62" s="87" t="s">
        <v>1971</v>
      </c>
      <c r="I62" s="87" t="s">
        <v>1637</v>
      </c>
      <c r="J62" s="87" t="s">
        <v>2020</v>
      </c>
      <c r="K62" s="87" t="s">
        <v>847</v>
      </c>
      <c r="L62" s="87" t="s">
        <v>847</v>
      </c>
      <c r="M62" s="87" t="s">
        <v>847</v>
      </c>
      <c r="N62" s="87" t="s">
        <v>847</v>
      </c>
      <c r="O62" s="90" t="s">
        <v>849</v>
      </c>
      <c r="P62" s="90" t="s">
        <v>849</v>
      </c>
      <c r="Q62" s="90" t="s">
        <v>849</v>
      </c>
      <c r="R62" s="90" t="s">
        <v>849</v>
      </c>
      <c r="S62" s="90" t="s">
        <v>848</v>
      </c>
      <c r="T62" s="90" t="s">
        <v>849</v>
      </c>
      <c r="U62" s="90" t="s">
        <v>848</v>
      </c>
      <c r="V62" s="89" t="s">
        <v>849</v>
      </c>
      <c r="W62" s="87">
        <f t="shared" si="2"/>
        <v>18</v>
      </c>
      <c r="X62" s="87" t="str">
        <f t="shared" si="3"/>
        <v>Alto</v>
      </c>
      <c r="Y62" s="87" t="s">
        <v>1979</v>
      </c>
      <c r="Z62" s="87" t="s">
        <v>2021</v>
      </c>
      <c r="AA62" s="87" t="s">
        <v>2022</v>
      </c>
    </row>
    <row r="63" spans="1:27" customFormat="1" ht="35.25" customHeight="1">
      <c r="A63" s="86" t="s">
        <v>2023</v>
      </c>
      <c r="B63" s="86" t="s">
        <v>2024</v>
      </c>
      <c r="C63" s="87" t="s">
        <v>2025</v>
      </c>
      <c r="D63" s="87" t="s">
        <v>1568</v>
      </c>
      <c r="E63" s="87" t="s">
        <v>1864</v>
      </c>
      <c r="F63" s="87" t="s">
        <v>32</v>
      </c>
      <c r="G63" s="87" t="s">
        <v>2026</v>
      </c>
      <c r="H63" s="87" t="s">
        <v>1684</v>
      </c>
      <c r="I63" s="87" t="s">
        <v>409</v>
      </c>
      <c r="J63" s="87" t="s">
        <v>2027</v>
      </c>
      <c r="K63" s="87" t="s">
        <v>847</v>
      </c>
      <c r="L63" s="87" t="s">
        <v>847</v>
      </c>
      <c r="M63" s="87" t="s">
        <v>847</v>
      </c>
      <c r="N63" s="87" t="s">
        <v>847</v>
      </c>
      <c r="O63" s="90" t="s">
        <v>849</v>
      </c>
      <c r="P63" s="90" t="s">
        <v>849</v>
      </c>
      <c r="Q63" s="90" t="s">
        <v>849</v>
      </c>
      <c r="R63" s="90" t="s">
        <v>848</v>
      </c>
      <c r="S63" s="90" t="s">
        <v>849</v>
      </c>
      <c r="T63" s="90" t="s">
        <v>849</v>
      </c>
      <c r="U63" s="90" t="s">
        <v>848</v>
      </c>
      <c r="V63" s="89" t="s">
        <v>849</v>
      </c>
      <c r="W63" s="87">
        <f t="shared" si="2"/>
        <v>18</v>
      </c>
      <c r="X63" s="87" t="str">
        <f t="shared" si="3"/>
        <v>Alto</v>
      </c>
      <c r="Y63" s="87" t="s">
        <v>1979</v>
      </c>
      <c r="Z63" s="87" t="s">
        <v>2028</v>
      </c>
      <c r="AA63" s="87" t="s">
        <v>2029</v>
      </c>
    </row>
    <row r="64" spans="1:27" customFormat="1" ht="35.25" customHeight="1">
      <c r="A64" s="86" t="s">
        <v>2030</v>
      </c>
      <c r="B64" s="86" t="s">
        <v>2031</v>
      </c>
      <c r="C64" s="87" t="s">
        <v>2032</v>
      </c>
      <c r="D64" s="87" t="s">
        <v>1568</v>
      </c>
      <c r="E64" s="87" t="s">
        <v>2033</v>
      </c>
      <c r="F64" s="87" t="s">
        <v>32</v>
      </c>
      <c r="G64" s="87" t="s">
        <v>2034</v>
      </c>
      <c r="H64" s="87" t="s">
        <v>1784</v>
      </c>
      <c r="I64" s="87" t="s">
        <v>409</v>
      </c>
      <c r="J64" s="87" t="s">
        <v>1771</v>
      </c>
      <c r="K64" s="87" t="s">
        <v>847</v>
      </c>
      <c r="L64" s="87" t="s">
        <v>847</v>
      </c>
      <c r="M64" s="87" t="s">
        <v>847</v>
      </c>
      <c r="N64" s="87" t="s">
        <v>847</v>
      </c>
      <c r="O64" s="90" t="s">
        <v>849</v>
      </c>
      <c r="P64" s="90" t="s">
        <v>1614</v>
      </c>
      <c r="Q64" s="90" t="s">
        <v>849</v>
      </c>
      <c r="R64" s="90" t="s">
        <v>849</v>
      </c>
      <c r="S64" s="90" t="s">
        <v>849</v>
      </c>
      <c r="T64" s="90" t="s">
        <v>1614</v>
      </c>
      <c r="U64" s="90" t="s">
        <v>849</v>
      </c>
      <c r="V64" s="89" t="s">
        <v>848</v>
      </c>
      <c r="W64" s="87">
        <f t="shared" si="2"/>
        <v>13</v>
      </c>
      <c r="X64" s="87" t="str">
        <f t="shared" si="3"/>
        <v>Moderado</v>
      </c>
      <c r="Y64" s="87" t="s">
        <v>1704</v>
      </c>
      <c r="Z64" s="87" t="s">
        <v>2035</v>
      </c>
      <c r="AA64" s="87" t="s">
        <v>2036</v>
      </c>
    </row>
    <row r="65" spans="1:37" customFormat="1" ht="35.25" customHeight="1">
      <c r="A65" s="86" t="s">
        <v>2037</v>
      </c>
      <c r="B65" s="86" t="s">
        <v>2038</v>
      </c>
      <c r="C65" s="87" t="s">
        <v>2039</v>
      </c>
      <c r="D65" s="87" t="s">
        <v>1568</v>
      </c>
      <c r="E65" s="87" t="s">
        <v>459</v>
      </c>
      <c r="F65" s="87" t="s">
        <v>32</v>
      </c>
      <c r="G65" s="87" t="s">
        <v>2040</v>
      </c>
      <c r="H65" s="87" t="s">
        <v>1784</v>
      </c>
      <c r="I65" s="87" t="s">
        <v>1637</v>
      </c>
      <c r="J65" s="87" t="s">
        <v>2041</v>
      </c>
      <c r="K65" s="87" t="s">
        <v>847</v>
      </c>
      <c r="L65" s="87" t="s">
        <v>847</v>
      </c>
      <c r="M65" s="87" t="s">
        <v>847</v>
      </c>
      <c r="N65" s="87" t="s">
        <v>847</v>
      </c>
      <c r="O65" s="90" t="s">
        <v>849</v>
      </c>
      <c r="P65" s="90" t="s">
        <v>1614</v>
      </c>
      <c r="Q65" s="90" t="s">
        <v>849</v>
      </c>
      <c r="R65" s="90" t="s">
        <v>848</v>
      </c>
      <c r="S65" s="90" t="s">
        <v>849</v>
      </c>
      <c r="T65" s="90" t="s">
        <v>1614</v>
      </c>
      <c r="U65" s="90" t="s">
        <v>848</v>
      </c>
      <c r="V65" s="89" t="s">
        <v>1614</v>
      </c>
      <c r="W65" s="87">
        <f t="shared" si="2"/>
        <v>12</v>
      </c>
      <c r="X65" s="87" t="str">
        <f t="shared" si="3"/>
        <v>Moderado</v>
      </c>
      <c r="Y65" s="87" t="s">
        <v>1704</v>
      </c>
      <c r="Z65" s="87" t="s">
        <v>2042</v>
      </c>
      <c r="AA65" s="87" t="s">
        <v>2043</v>
      </c>
    </row>
    <row r="66" spans="1:37" customFormat="1" ht="35.25" customHeight="1">
      <c r="A66" s="86" t="s">
        <v>2044</v>
      </c>
      <c r="B66" s="86" t="s">
        <v>2045</v>
      </c>
      <c r="C66" s="87" t="s">
        <v>2046</v>
      </c>
      <c r="D66" s="87" t="s">
        <v>1568</v>
      </c>
      <c r="E66" s="87" t="s">
        <v>2047</v>
      </c>
      <c r="F66" s="87" t="s">
        <v>25</v>
      </c>
      <c r="G66" s="87" t="s">
        <v>2048</v>
      </c>
      <c r="H66" s="87" t="s">
        <v>1784</v>
      </c>
      <c r="I66" s="87" t="s">
        <v>409</v>
      </c>
      <c r="J66" s="87" t="s">
        <v>2049</v>
      </c>
      <c r="K66" s="87" t="s">
        <v>847</v>
      </c>
      <c r="L66" s="87" t="s">
        <v>847</v>
      </c>
      <c r="M66" s="87" t="s">
        <v>847</v>
      </c>
      <c r="N66" s="87" t="s">
        <v>847</v>
      </c>
      <c r="O66" s="90" t="s">
        <v>849</v>
      </c>
      <c r="P66" s="90" t="s">
        <v>849</v>
      </c>
      <c r="Q66" s="90" t="s">
        <v>849</v>
      </c>
      <c r="R66" s="90" t="s">
        <v>848</v>
      </c>
      <c r="S66" s="90" t="s">
        <v>848</v>
      </c>
      <c r="T66" s="90" t="s">
        <v>849</v>
      </c>
      <c r="U66" s="90" t="s">
        <v>848</v>
      </c>
      <c r="V66" s="89" t="s">
        <v>849</v>
      </c>
      <c r="W66" s="87">
        <f t="shared" ref="W66:W97" si="4">SUM(
  IF($O66 = "Impacto direto", 3, IF($O66 = "Impacto indireto", 2, 0)),
  IF($P66 = "Impacto direto", 3, IF($P66 = "Impacto indireto", 2, 0)),
  IF($Q66 = "Impacto direto", 3, IF($Q66 = "Impacto indireto", 2, 0)),
  IF($R66 = "Impacto direto", 3, IF($R66 = "Impacto indireto", 2, 0)),
  IF($S66 = "Impacto direto", 3, IF($S66 = "Impacto indireto", 2, 0)),
  IF($T66 = "Impacto direto", 3, IF($T66 = "Impacto indireto", 2, 0)),
  IF($U66 = "Impacto direto", 3, IF($U66 = "Impacto indireto", 2, 0)),
  IF($V66 = "Impacto direto", 3, IF($V66 = "Impacto indireto", 2, 0))
)</f>
        <v>19</v>
      </c>
      <c r="X66" s="87" t="str">
        <f t="shared" ref="X66:X97" si="5">IF($W66&lt;=5, "Leve", IF($W66&lt;=8, "Baixo", IF($W66&lt;=14, "Moderado", IF($W66&lt;=18, "Alto", IF($W66&lt;=24, "Crítico", "ERRO")))))</f>
        <v>Crítico</v>
      </c>
      <c r="Y66" s="87" t="s">
        <v>1704</v>
      </c>
      <c r="Z66" s="87" t="s">
        <v>2050</v>
      </c>
      <c r="AA66" s="87" t="s">
        <v>2051</v>
      </c>
    </row>
    <row r="67" spans="1:37" customFormat="1" ht="35.25" customHeight="1">
      <c r="A67" s="86" t="s">
        <v>2052</v>
      </c>
      <c r="B67" s="86" t="s">
        <v>2053</v>
      </c>
      <c r="C67" s="87" t="s">
        <v>2054</v>
      </c>
      <c r="D67" s="87" t="s">
        <v>1568</v>
      </c>
      <c r="E67" s="87" t="s">
        <v>459</v>
      </c>
      <c r="F67" s="87" t="s">
        <v>25</v>
      </c>
      <c r="G67" s="87" t="s">
        <v>2055</v>
      </c>
      <c r="H67" s="87" t="s">
        <v>1746</v>
      </c>
      <c r="I67" s="87" t="s">
        <v>1577</v>
      </c>
      <c r="J67" s="87" t="s">
        <v>2056</v>
      </c>
      <c r="K67" s="87" t="s">
        <v>847</v>
      </c>
      <c r="L67" s="87" t="s">
        <v>847</v>
      </c>
      <c r="M67" s="87" t="s">
        <v>847</v>
      </c>
      <c r="N67" s="87" t="s">
        <v>847</v>
      </c>
      <c r="O67" s="90" t="s">
        <v>849</v>
      </c>
      <c r="P67" s="90" t="s">
        <v>849</v>
      </c>
      <c r="Q67" s="90" t="s">
        <v>849</v>
      </c>
      <c r="R67" s="90" t="s">
        <v>848</v>
      </c>
      <c r="S67" s="90" t="s">
        <v>848</v>
      </c>
      <c r="T67" s="90" t="s">
        <v>848</v>
      </c>
      <c r="U67" s="90" t="s">
        <v>848</v>
      </c>
      <c r="V67" s="89" t="s">
        <v>849</v>
      </c>
      <c r="W67" s="87">
        <f t="shared" si="4"/>
        <v>20</v>
      </c>
      <c r="X67" s="87" t="str">
        <f t="shared" si="5"/>
        <v>Crítico</v>
      </c>
      <c r="Y67" s="87" t="s">
        <v>851</v>
      </c>
      <c r="Z67" s="87" t="s">
        <v>2057</v>
      </c>
      <c r="AA67" s="87" t="s">
        <v>2058</v>
      </c>
    </row>
    <row r="68" spans="1:37" customFormat="1" ht="35.25" customHeight="1">
      <c r="A68" s="86" t="s">
        <v>2059</v>
      </c>
      <c r="B68" s="86" t="s">
        <v>2060</v>
      </c>
      <c r="C68" s="87" t="s">
        <v>2061</v>
      </c>
      <c r="D68" s="87" t="s">
        <v>1568</v>
      </c>
      <c r="E68" s="87" t="s">
        <v>459</v>
      </c>
      <c r="F68" s="87" t="s">
        <v>25</v>
      </c>
      <c r="G68" s="87" t="s">
        <v>2062</v>
      </c>
      <c r="H68" s="87" t="s">
        <v>2063</v>
      </c>
      <c r="I68" s="87" t="s">
        <v>1577</v>
      </c>
      <c r="J68" s="87" t="s">
        <v>2064</v>
      </c>
      <c r="K68" s="87" t="s">
        <v>847</v>
      </c>
      <c r="L68" s="87" t="s">
        <v>847</v>
      </c>
      <c r="M68" s="87" t="s">
        <v>847</v>
      </c>
      <c r="N68" s="87" t="s">
        <v>847</v>
      </c>
      <c r="O68" s="90" t="s">
        <v>848</v>
      </c>
      <c r="P68" s="90" t="s">
        <v>849</v>
      </c>
      <c r="Q68" s="90" t="s">
        <v>849</v>
      </c>
      <c r="R68" s="90" t="s">
        <v>848</v>
      </c>
      <c r="S68" s="90" t="s">
        <v>848</v>
      </c>
      <c r="T68" s="90" t="s">
        <v>848</v>
      </c>
      <c r="U68" s="90" t="s">
        <v>848</v>
      </c>
      <c r="V68" s="89" t="s">
        <v>849</v>
      </c>
      <c r="W68" s="87">
        <f t="shared" si="4"/>
        <v>21</v>
      </c>
      <c r="X68" s="87" t="str">
        <f t="shared" si="5"/>
        <v>Crítico</v>
      </c>
      <c r="Y68" s="87" t="s">
        <v>851</v>
      </c>
      <c r="Z68" s="87" t="s">
        <v>2065</v>
      </c>
      <c r="AA68" s="87" t="s">
        <v>2066</v>
      </c>
    </row>
    <row r="69" spans="1:37" customFormat="1" ht="35.25" customHeight="1">
      <c r="A69" s="86" t="s">
        <v>2067</v>
      </c>
      <c r="B69" s="86" t="s">
        <v>2068</v>
      </c>
      <c r="C69" s="87" t="s">
        <v>2069</v>
      </c>
      <c r="D69" s="87" t="s">
        <v>1568</v>
      </c>
      <c r="E69" s="87" t="s">
        <v>459</v>
      </c>
      <c r="F69" s="87" t="s">
        <v>25</v>
      </c>
      <c r="G69" s="87" t="s">
        <v>2070</v>
      </c>
      <c r="H69" s="87" t="s">
        <v>2071</v>
      </c>
      <c r="I69" s="87" t="s">
        <v>1577</v>
      </c>
      <c r="J69" s="87" t="s">
        <v>2064</v>
      </c>
      <c r="K69" s="87" t="s">
        <v>847</v>
      </c>
      <c r="L69" s="87" t="s">
        <v>847</v>
      </c>
      <c r="M69" s="87" t="s">
        <v>847</v>
      </c>
      <c r="N69" s="87" t="s">
        <v>847</v>
      </c>
      <c r="O69" s="90" t="s">
        <v>849</v>
      </c>
      <c r="P69" s="90" t="s">
        <v>848</v>
      </c>
      <c r="Q69" s="90" t="s">
        <v>848</v>
      </c>
      <c r="R69" s="90" t="s">
        <v>848</v>
      </c>
      <c r="S69" s="90" t="s">
        <v>848</v>
      </c>
      <c r="T69" s="90" t="s">
        <v>848</v>
      </c>
      <c r="U69" s="90" t="s">
        <v>849</v>
      </c>
      <c r="V69" s="89" t="s">
        <v>849</v>
      </c>
      <c r="W69" s="87">
        <f t="shared" si="4"/>
        <v>21</v>
      </c>
      <c r="X69" s="87" t="str">
        <f t="shared" si="5"/>
        <v>Crítico</v>
      </c>
      <c r="Y69" s="87" t="s">
        <v>1704</v>
      </c>
      <c r="Z69" s="87" t="s">
        <v>2072</v>
      </c>
      <c r="AA69" s="87" t="s">
        <v>2073</v>
      </c>
    </row>
    <row r="70" spans="1:37" customFormat="1" ht="35.25" customHeight="1">
      <c r="A70" s="86" t="s">
        <v>2074</v>
      </c>
      <c r="B70" s="86" t="s">
        <v>2075</v>
      </c>
      <c r="C70" s="87" t="s">
        <v>2076</v>
      </c>
      <c r="D70" s="87" t="s">
        <v>1568</v>
      </c>
      <c r="E70" s="87" t="s">
        <v>459</v>
      </c>
      <c r="F70" s="87" t="s">
        <v>25</v>
      </c>
      <c r="G70" s="87" t="s">
        <v>2077</v>
      </c>
      <c r="H70" s="87" t="s">
        <v>2078</v>
      </c>
      <c r="I70" s="87" t="s">
        <v>1577</v>
      </c>
      <c r="J70" s="87" t="s">
        <v>2079</v>
      </c>
      <c r="K70" s="87" t="s">
        <v>847</v>
      </c>
      <c r="L70" s="87" t="s">
        <v>847</v>
      </c>
      <c r="M70" s="87" t="s">
        <v>847</v>
      </c>
      <c r="N70" s="87" t="s">
        <v>847</v>
      </c>
      <c r="O70" s="90" t="s">
        <v>848</v>
      </c>
      <c r="P70" s="90" t="s">
        <v>849</v>
      </c>
      <c r="Q70" s="90" t="s">
        <v>849</v>
      </c>
      <c r="R70" s="90" t="s">
        <v>848</v>
      </c>
      <c r="S70" s="90" t="s">
        <v>848</v>
      </c>
      <c r="T70" s="90" t="s">
        <v>848</v>
      </c>
      <c r="U70" s="90" t="s">
        <v>848</v>
      </c>
      <c r="V70" s="89" t="s">
        <v>849</v>
      </c>
      <c r="W70" s="87">
        <f t="shared" si="4"/>
        <v>21</v>
      </c>
      <c r="X70" s="87" t="str">
        <f t="shared" si="5"/>
        <v>Crítico</v>
      </c>
      <c r="Y70" s="87" t="s">
        <v>851</v>
      </c>
      <c r="Z70" s="87" t="s">
        <v>2080</v>
      </c>
      <c r="AA70" s="87" t="s">
        <v>2081</v>
      </c>
    </row>
    <row r="71" spans="1:37" customFormat="1" ht="35.25" customHeight="1">
      <c r="A71" s="86" t="s">
        <v>2082</v>
      </c>
      <c r="B71" s="86" t="s">
        <v>2083</v>
      </c>
      <c r="C71" s="87" t="s">
        <v>2084</v>
      </c>
      <c r="D71" s="87" t="s">
        <v>1568</v>
      </c>
      <c r="E71" s="87" t="s">
        <v>459</v>
      </c>
      <c r="F71" s="87" t="s">
        <v>25</v>
      </c>
      <c r="G71" s="87" t="s">
        <v>2085</v>
      </c>
      <c r="H71" s="87" t="s">
        <v>1746</v>
      </c>
      <c r="I71" s="87" t="s">
        <v>1577</v>
      </c>
      <c r="J71" s="87" t="s">
        <v>2086</v>
      </c>
      <c r="K71" s="87" t="s">
        <v>847</v>
      </c>
      <c r="L71" s="87" t="s">
        <v>847</v>
      </c>
      <c r="M71" s="87" t="s">
        <v>847</v>
      </c>
      <c r="N71" s="87" t="s">
        <v>847</v>
      </c>
      <c r="O71" s="90" t="s">
        <v>849</v>
      </c>
      <c r="P71" s="90" t="s">
        <v>849</v>
      </c>
      <c r="Q71" s="90" t="s">
        <v>849</v>
      </c>
      <c r="R71" s="90" t="s">
        <v>848</v>
      </c>
      <c r="S71" s="90" t="s">
        <v>848</v>
      </c>
      <c r="T71" s="90" t="s">
        <v>848</v>
      </c>
      <c r="U71" s="90" t="s">
        <v>848</v>
      </c>
      <c r="V71" s="89" t="s">
        <v>849</v>
      </c>
      <c r="W71" s="87">
        <f t="shared" si="4"/>
        <v>20</v>
      </c>
      <c r="X71" s="87" t="str">
        <f t="shared" si="5"/>
        <v>Crítico</v>
      </c>
      <c r="Y71" s="87" t="s">
        <v>851</v>
      </c>
      <c r="Z71" s="87" t="s">
        <v>2087</v>
      </c>
      <c r="AA71" s="87" t="s">
        <v>2088</v>
      </c>
    </row>
    <row r="72" spans="1:37" customFormat="1" ht="35.25" customHeight="1">
      <c r="A72" s="86" t="s">
        <v>2089</v>
      </c>
      <c r="B72" s="86" t="s">
        <v>2090</v>
      </c>
      <c r="C72" s="87" t="s">
        <v>2091</v>
      </c>
      <c r="D72" s="87" t="s">
        <v>1568</v>
      </c>
      <c r="E72" s="87" t="s">
        <v>2092</v>
      </c>
      <c r="F72" s="87" t="s">
        <v>22</v>
      </c>
      <c r="G72" s="87" t="s">
        <v>2093</v>
      </c>
      <c r="H72" s="87" t="s">
        <v>1684</v>
      </c>
      <c r="I72" s="87" t="s">
        <v>1592</v>
      </c>
      <c r="J72" s="87" t="s">
        <v>410</v>
      </c>
      <c r="K72" s="87" t="s">
        <v>847</v>
      </c>
      <c r="L72" s="87" t="s">
        <v>847</v>
      </c>
      <c r="M72" s="87" t="s">
        <v>847</v>
      </c>
      <c r="N72" s="87" t="s">
        <v>847</v>
      </c>
      <c r="O72" s="90" t="s">
        <v>848</v>
      </c>
      <c r="P72" s="90" t="s">
        <v>849</v>
      </c>
      <c r="Q72" s="90" t="s">
        <v>849</v>
      </c>
      <c r="R72" s="90" t="s">
        <v>848</v>
      </c>
      <c r="S72" s="90" t="s">
        <v>849</v>
      </c>
      <c r="T72" s="90" t="s">
        <v>1614</v>
      </c>
      <c r="U72" s="90" t="s">
        <v>849</v>
      </c>
      <c r="V72" s="89" t="s">
        <v>848</v>
      </c>
      <c r="W72" s="87">
        <f t="shared" si="4"/>
        <v>17</v>
      </c>
      <c r="X72" s="87" t="str">
        <f t="shared" si="5"/>
        <v>Alto</v>
      </c>
      <c r="Y72" s="87" t="s">
        <v>851</v>
      </c>
      <c r="Z72" s="87" t="s">
        <v>2094</v>
      </c>
      <c r="AA72" s="87" t="s">
        <v>2095</v>
      </c>
    </row>
    <row r="73" spans="1:37" customFormat="1" ht="35.25" customHeight="1">
      <c r="A73" s="86" t="s">
        <v>2096</v>
      </c>
      <c r="B73" s="86" t="s">
        <v>2097</v>
      </c>
      <c r="C73" s="87" t="s">
        <v>2098</v>
      </c>
      <c r="D73" s="87" t="s">
        <v>1568</v>
      </c>
      <c r="E73" s="87" t="s">
        <v>1791</v>
      </c>
      <c r="F73" s="87" t="s">
        <v>22</v>
      </c>
      <c r="G73" s="87" t="s">
        <v>2099</v>
      </c>
      <c r="H73" s="87" t="s">
        <v>1684</v>
      </c>
      <c r="I73" s="87" t="s">
        <v>1592</v>
      </c>
      <c r="J73" s="87" t="s">
        <v>2100</v>
      </c>
      <c r="K73" s="87" t="s">
        <v>847</v>
      </c>
      <c r="L73" s="87" t="s">
        <v>847</v>
      </c>
      <c r="M73" s="87" t="s">
        <v>847</v>
      </c>
      <c r="N73" s="87" t="s">
        <v>847</v>
      </c>
      <c r="O73" s="90" t="s">
        <v>848</v>
      </c>
      <c r="P73" s="90" t="s">
        <v>849</v>
      </c>
      <c r="Q73" s="90" t="s">
        <v>849</v>
      </c>
      <c r="R73" s="90" t="s">
        <v>848</v>
      </c>
      <c r="S73" s="90" t="s">
        <v>849</v>
      </c>
      <c r="T73" s="90" t="s">
        <v>1614</v>
      </c>
      <c r="U73" s="90" t="s">
        <v>849</v>
      </c>
      <c r="V73" s="89" t="s">
        <v>848</v>
      </c>
      <c r="W73" s="87">
        <f t="shared" si="4"/>
        <v>17</v>
      </c>
      <c r="X73" s="87" t="str">
        <f t="shared" si="5"/>
        <v>Alto</v>
      </c>
      <c r="Y73" s="87" t="s">
        <v>851</v>
      </c>
      <c r="Z73" s="87" t="s">
        <v>2101</v>
      </c>
      <c r="AA73" s="87" t="s">
        <v>2102</v>
      </c>
    </row>
    <row r="74" spans="1:37" customFormat="1" ht="35.25" customHeight="1">
      <c r="A74" s="86" t="s">
        <v>2103</v>
      </c>
      <c r="B74" s="86" t="s">
        <v>2104</v>
      </c>
      <c r="C74" s="87" t="s">
        <v>2105</v>
      </c>
      <c r="D74" s="87" t="s">
        <v>1568</v>
      </c>
      <c r="E74" s="87" t="s">
        <v>1700</v>
      </c>
      <c r="F74" s="87" t="s">
        <v>22</v>
      </c>
      <c r="G74" s="87" t="s">
        <v>2106</v>
      </c>
      <c r="H74" s="87" t="s">
        <v>1684</v>
      </c>
      <c r="I74" s="87" t="s">
        <v>231</v>
      </c>
      <c r="J74" s="87" t="s">
        <v>2107</v>
      </c>
      <c r="K74" s="87" t="s">
        <v>847</v>
      </c>
      <c r="L74" s="87" t="s">
        <v>847</v>
      </c>
      <c r="M74" s="87" t="s">
        <v>847</v>
      </c>
      <c r="N74" s="87" t="s">
        <v>847</v>
      </c>
      <c r="O74" s="90" t="s">
        <v>848</v>
      </c>
      <c r="P74" s="90" t="s">
        <v>849</v>
      </c>
      <c r="Q74" s="90" t="s">
        <v>849</v>
      </c>
      <c r="R74" s="90" t="s">
        <v>848</v>
      </c>
      <c r="S74" s="90" t="s">
        <v>849</v>
      </c>
      <c r="T74" s="90" t="s">
        <v>1614</v>
      </c>
      <c r="U74" s="90" t="s">
        <v>849</v>
      </c>
      <c r="V74" s="89" t="s">
        <v>848</v>
      </c>
      <c r="W74" s="87">
        <f t="shared" si="4"/>
        <v>17</v>
      </c>
      <c r="X74" s="87" t="str">
        <f t="shared" si="5"/>
        <v>Alto</v>
      </c>
      <c r="Y74" s="87" t="s">
        <v>851</v>
      </c>
      <c r="Z74" s="87" t="s">
        <v>2108</v>
      </c>
      <c r="AA74" s="87" t="s">
        <v>2109</v>
      </c>
    </row>
    <row r="75" spans="1:37" customFormat="1" ht="35.25" customHeight="1">
      <c r="A75" s="86" t="s">
        <v>2110</v>
      </c>
      <c r="B75" s="86" t="s">
        <v>2111</v>
      </c>
      <c r="C75" s="87" t="s">
        <v>2112</v>
      </c>
      <c r="D75" s="87" t="s">
        <v>1568</v>
      </c>
      <c r="E75" s="87" t="s">
        <v>459</v>
      </c>
      <c r="F75" s="87" t="s">
        <v>25</v>
      </c>
      <c r="G75" s="87" t="s">
        <v>2113</v>
      </c>
      <c r="H75" s="87" t="s">
        <v>2114</v>
      </c>
      <c r="I75" s="87" t="s">
        <v>231</v>
      </c>
      <c r="J75" s="87" t="s">
        <v>1178</v>
      </c>
      <c r="K75" s="87" t="s">
        <v>847</v>
      </c>
      <c r="L75" s="87" t="s">
        <v>847</v>
      </c>
      <c r="M75" s="87" t="s">
        <v>847</v>
      </c>
      <c r="N75" s="87" t="s">
        <v>847</v>
      </c>
      <c r="O75" s="90" t="s">
        <v>848</v>
      </c>
      <c r="P75" s="90" t="s">
        <v>849</v>
      </c>
      <c r="Q75" s="90" t="s">
        <v>849</v>
      </c>
      <c r="R75" s="90" t="s">
        <v>848</v>
      </c>
      <c r="S75" s="90" t="s">
        <v>848</v>
      </c>
      <c r="T75" s="90" t="s">
        <v>849</v>
      </c>
      <c r="U75" s="90" t="s">
        <v>848</v>
      </c>
      <c r="V75" s="89" t="s">
        <v>848</v>
      </c>
      <c r="W75" s="87">
        <f t="shared" si="4"/>
        <v>21</v>
      </c>
      <c r="X75" s="87" t="str">
        <f t="shared" si="5"/>
        <v>Crítico</v>
      </c>
      <c r="Y75" s="87" t="s">
        <v>851</v>
      </c>
      <c r="Z75" s="87" t="s">
        <v>2115</v>
      </c>
      <c r="AA75" s="87" t="s">
        <v>2116</v>
      </c>
    </row>
    <row r="76" spans="1:37" customFormat="1" ht="35.25" customHeight="1">
      <c r="A76" s="86" t="s">
        <v>2117</v>
      </c>
      <c r="B76" s="86" t="s">
        <v>2118</v>
      </c>
      <c r="C76" s="87" t="s">
        <v>2119</v>
      </c>
      <c r="D76" s="87" t="s">
        <v>1568</v>
      </c>
      <c r="E76" s="87" t="s">
        <v>1700</v>
      </c>
      <c r="F76" s="87" t="s">
        <v>25</v>
      </c>
      <c r="G76" s="87" t="s">
        <v>2120</v>
      </c>
      <c r="H76" s="87" t="s">
        <v>1784</v>
      </c>
      <c r="I76" s="87" t="s">
        <v>231</v>
      </c>
      <c r="J76" s="87" t="s">
        <v>2121</v>
      </c>
      <c r="K76" s="87" t="s">
        <v>847</v>
      </c>
      <c r="L76" s="87" t="s">
        <v>847</v>
      </c>
      <c r="M76" s="87" t="s">
        <v>847</v>
      </c>
      <c r="N76" s="87" t="s">
        <v>847</v>
      </c>
      <c r="O76" s="90" t="s">
        <v>848</v>
      </c>
      <c r="P76" s="90" t="s">
        <v>849</v>
      </c>
      <c r="Q76" s="90" t="s">
        <v>849</v>
      </c>
      <c r="R76" s="90" t="s">
        <v>848</v>
      </c>
      <c r="S76" s="90" t="s">
        <v>848</v>
      </c>
      <c r="T76" s="90" t="s">
        <v>849</v>
      </c>
      <c r="U76" s="90" t="s">
        <v>849</v>
      </c>
      <c r="V76" s="89" t="s">
        <v>848</v>
      </c>
      <c r="W76" s="87">
        <f t="shared" si="4"/>
        <v>20</v>
      </c>
      <c r="X76" s="87" t="str">
        <f t="shared" si="5"/>
        <v>Crítico</v>
      </c>
      <c r="Y76" s="87" t="s">
        <v>1704</v>
      </c>
      <c r="Z76" s="87" t="s">
        <v>2122</v>
      </c>
      <c r="AA76" s="87" t="s">
        <v>2123</v>
      </c>
    </row>
    <row r="77" spans="1:37" customFormat="1" ht="35.25" customHeight="1">
      <c r="A77" s="86" t="s">
        <v>2124</v>
      </c>
      <c r="B77" s="86" t="s">
        <v>2125</v>
      </c>
      <c r="C77" s="87" t="s">
        <v>2126</v>
      </c>
      <c r="D77" s="87" t="s">
        <v>1568</v>
      </c>
      <c r="E77" s="87" t="s">
        <v>1864</v>
      </c>
      <c r="F77" s="87" t="s">
        <v>25</v>
      </c>
      <c r="G77" s="87" t="s">
        <v>2127</v>
      </c>
      <c r="H77" s="87" t="s">
        <v>1684</v>
      </c>
      <c r="I77" s="87" t="s">
        <v>231</v>
      </c>
      <c r="J77" s="87" t="s">
        <v>2128</v>
      </c>
      <c r="K77" s="87" t="s">
        <v>847</v>
      </c>
      <c r="L77" s="87" t="s">
        <v>847</v>
      </c>
      <c r="M77" s="87" t="s">
        <v>847</v>
      </c>
      <c r="N77" s="87" t="s">
        <v>847</v>
      </c>
      <c r="O77" s="90" t="s">
        <v>848</v>
      </c>
      <c r="P77" s="90" t="s">
        <v>849</v>
      </c>
      <c r="Q77" s="90" t="s">
        <v>849</v>
      </c>
      <c r="R77" s="90" t="s">
        <v>848</v>
      </c>
      <c r="S77" s="90" t="s">
        <v>848</v>
      </c>
      <c r="T77" s="90" t="s">
        <v>849</v>
      </c>
      <c r="U77" s="90" t="s">
        <v>848</v>
      </c>
      <c r="V77" s="89" t="s">
        <v>848</v>
      </c>
      <c r="W77" s="87">
        <f t="shared" si="4"/>
        <v>21</v>
      </c>
      <c r="X77" s="87" t="str">
        <f t="shared" si="5"/>
        <v>Crítico</v>
      </c>
      <c r="Y77" s="87" t="s">
        <v>851</v>
      </c>
      <c r="Z77" s="87" t="s">
        <v>2129</v>
      </c>
      <c r="AA77" s="87" t="s">
        <v>2130</v>
      </c>
    </row>
    <row r="78" spans="1:37" ht="35.25" customHeight="1">
      <c r="A78" s="21" t="s">
        <v>2131</v>
      </c>
      <c r="B78" s="82" t="s">
        <v>2132</v>
      </c>
      <c r="C78" s="17" t="s">
        <v>2133</v>
      </c>
      <c r="D78" s="17" t="s">
        <v>230</v>
      </c>
      <c r="E78" s="17" t="str" cm="1">
        <f t="array" ref="E78">IF($F78="Information Disclosure",Formatação!H$5,IF($F78="Repudiation",Formatação!H$4,IF($F78="Spoofing",Formatação!H$2,IF($F78="Tampering",Formatação!H$3, IF($F78="Denial of Service",Formatação!H$6,IF($F78="Elevation of Privilege",Formatação!H$7,IF($F78="Lateral Movement",Formatação!H$8,Errado)))))))</f>
        <v>Integridade</v>
      </c>
      <c r="F78" s="17" t="s">
        <v>25</v>
      </c>
      <c r="G78" s="17" t="str" cm="1">
        <f t="array" ref="G78">IF($F78="Information Disclosure",Formatação!J$5,IF($F78="Repudiation",Formatação!J$4,IF($F78="Spoofing",Formatação!J$2,IF($F78="Tampering",Formatação!J$3, IF($F78="Denial of Service",Formatação!J$6,IF($F78="Elevation of Privilege",Formatação!J$7,IF($F78="Lateral Movement",Formatação!J$8,Errado)))))))</f>
        <v>Danos a imagem</v>
      </c>
      <c r="H78" s="17" t="s">
        <v>29</v>
      </c>
      <c r="I78" s="17" t="s">
        <v>231</v>
      </c>
      <c r="J78" s="17" t="s">
        <v>232</v>
      </c>
      <c r="K78" s="17" t="s">
        <v>847</v>
      </c>
      <c r="L78" s="17" t="s">
        <v>847</v>
      </c>
      <c r="M78" s="17" t="s">
        <v>847</v>
      </c>
      <c r="N78" s="17" t="s">
        <v>847</v>
      </c>
      <c r="O78" s="17" t="s">
        <v>848</v>
      </c>
      <c r="P78" s="17" t="s">
        <v>849</v>
      </c>
      <c r="Q78" s="17" t="s">
        <v>848</v>
      </c>
      <c r="R78" s="17" t="s">
        <v>848</v>
      </c>
      <c r="S78" s="17" t="s">
        <v>848</v>
      </c>
      <c r="T78" s="17" t="s">
        <v>849</v>
      </c>
      <c r="U78" s="17" t="s">
        <v>849</v>
      </c>
      <c r="V78" s="17" t="s">
        <v>850</v>
      </c>
      <c r="W78" s="17">
        <f t="shared" si="4"/>
        <v>20</v>
      </c>
      <c r="X78" s="17" t="str">
        <f t="shared" si="5"/>
        <v>Crítico</v>
      </c>
      <c r="Y78" s="17" t="s">
        <v>851</v>
      </c>
      <c r="Z78" s="17" t="s">
        <v>2134</v>
      </c>
      <c r="AA78" s="17" t="s">
        <v>2135</v>
      </c>
      <c r="AB78" s="17" t="s">
        <v>854</v>
      </c>
      <c r="AC78" s="17"/>
      <c r="AD78" s="17"/>
      <c r="AE78" s="17"/>
      <c r="AF78" s="72"/>
      <c r="AH78" s="72"/>
      <c r="AI78" s="72"/>
      <c r="AJ78" s="72"/>
      <c r="AK78" s="72"/>
    </row>
    <row r="79" spans="1:37" ht="35.25" customHeight="1">
      <c r="A79" s="21" t="s">
        <v>2136</v>
      </c>
      <c r="B79" s="53" t="s">
        <v>2137</v>
      </c>
      <c r="C79" s="17" t="s">
        <v>908</v>
      </c>
      <c r="D79" s="17" t="s">
        <v>230</v>
      </c>
      <c r="E79" s="17" t="str" cm="1">
        <f t="array" ref="E79">IF($F79="Information Disclosure",Formatação!H$5,IF($F79="Repudiation",Formatação!H$4,IF($F79="Spoofing",Formatação!H$2,IF($F79="Tampering",Formatação!H$3, IF($F79="Denial of Service",Formatação!H$6,IF($F79="Elevation of Privilege",Formatação!H$7,IF($F79="Lateral Movement",Formatação!H$8,Errado)))))))</f>
        <v>Disponibilidade</v>
      </c>
      <c r="F79" s="17" t="s">
        <v>239</v>
      </c>
      <c r="G79" s="17" t="str" cm="1">
        <f t="array" ref="G79">IF($F79="Information Disclosure",Formatação!J$5,IF($F79="Repudiation",Formatação!J$4,IF($F79="Spoofing",Formatação!J$2,IF($F79="Tampering",Formatação!J$3, IF($F79="Denial of Service",Formatação!J$6,IF($F79="Elevation of Privilege",Formatação!J$7,IF($F79="Lateral Movement",Formatação!J$8,Errado)))))))</f>
        <v>Indisponibilidade</v>
      </c>
      <c r="H79" s="17" t="s">
        <v>14</v>
      </c>
      <c r="I79" s="17" t="s">
        <v>231</v>
      </c>
      <c r="J79" s="17" t="s">
        <v>232</v>
      </c>
      <c r="K79" s="17" t="s">
        <v>847</v>
      </c>
      <c r="L79" s="17" t="s">
        <v>847</v>
      </c>
      <c r="M79" s="17" t="s">
        <v>847</v>
      </c>
      <c r="N79" s="17" t="s">
        <v>1293</v>
      </c>
      <c r="O79" s="17" t="s">
        <v>848</v>
      </c>
      <c r="P79" s="17" t="s">
        <v>848</v>
      </c>
      <c r="Q79" s="17" t="s">
        <v>848</v>
      </c>
      <c r="R79" s="17" t="s">
        <v>848</v>
      </c>
      <c r="S79" s="17" t="s">
        <v>848</v>
      </c>
      <c r="T79" s="17" t="s">
        <v>849</v>
      </c>
      <c r="U79" s="17" t="s">
        <v>849</v>
      </c>
      <c r="V79" s="17" t="s">
        <v>850</v>
      </c>
      <c r="W79" s="17">
        <f t="shared" si="4"/>
        <v>21</v>
      </c>
      <c r="X79" s="17" t="str">
        <f t="shared" si="5"/>
        <v>Crítico</v>
      </c>
      <c r="Y79" s="17" t="s">
        <v>851</v>
      </c>
      <c r="Z79" s="17" t="s">
        <v>2138</v>
      </c>
      <c r="AA79" s="17" t="s">
        <v>2139</v>
      </c>
      <c r="AB79" s="17" t="s">
        <v>854</v>
      </c>
      <c r="AC79" s="17"/>
      <c r="AD79" s="17"/>
      <c r="AE79" s="17"/>
      <c r="AF79" s="72"/>
      <c r="AH79" s="72"/>
      <c r="AI79" s="72"/>
      <c r="AJ79" s="72"/>
      <c r="AK79" s="72"/>
    </row>
    <row r="80" spans="1:37" ht="35.25" customHeight="1">
      <c r="A80" s="21" t="s">
        <v>2140</v>
      </c>
      <c r="B80" s="53" t="s">
        <v>2141</v>
      </c>
      <c r="C80" s="17" t="s">
        <v>912</v>
      </c>
      <c r="D80" s="17" t="s">
        <v>230</v>
      </c>
      <c r="E80" s="17" t="str" cm="1">
        <f t="array" ref="E80">IF($F80="Information Disclosure",Formatação!H$5,IF($F80="Repudiation",Formatação!H$4,IF($F80="Spoofing",Formatação!H$2,IF($F80="Tampering",Formatação!H$3, IF($F80="Denial of Service",Formatação!H$6,IF($F80="Elevation of Privilege",Formatação!H$7,IF($F80="Lateral Movement",Formatação!H$8,Errado)))))))</f>
        <v>Autenticação</v>
      </c>
      <c r="F80" s="17" t="s">
        <v>102</v>
      </c>
      <c r="G80" s="17" t="str" cm="1">
        <f t="array" ref="G80">IF($F80="Information Disclosure",Formatação!J$5,IF($F80="Repudiation",Formatação!J$4,IF($F80="Spoofing",Formatação!J$2,IF($F80="Tampering",Formatação!J$3, IF($F80="Denial of Service",Formatação!J$6,IF($F80="Elevation of Privilege",Formatação!J$7,IF($F80="Lateral Movement",Formatação!J$8,Errado)))))))</f>
        <v>Fraudes/Vazamento de dados</v>
      </c>
      <c r="H80" s="17" t="s">
        <v>29</v>
      </c>
      <c r="I80" s="17" t="s">
        <v>231</v>
      </c>
      <c r="J80" s="17" t="s">
        <v>232</v>
      </c>
      <c r="K80" s="17" t="s">
        <v>847</v>
      </c>
      <c r="L80" s="17" t="s">
        <v>847</v>
      </c>
      <c r="M80" s="17" t="s">
        <v>847</v>
      </c>
      <c r="N80" s="17" t="s">
        <v>1293</v>
      </c>
      <c r="O80" s="17" t="s">
        <v>849</v>
      </c>
      <c r="P80" s="17" t="s">
        <v>848</v>
      </c>
      <c r="Q80" s="17" t="s">
        <v>848</v>
      </c>
      <c r="R80" s="17" t="s">
        <v>849</v>
      </c>
      <c r="S80" s="17" t="s">
        <v>848</v>
      </c>
      <c r="T80" s="17" t="s">
        <v>849</v>
      </c>
      <c r="U80" s="17" t="s">
        <v>1614</v>
      </c>
      <c r="V80" s="17" t="s">
        <v>850</v>
      </c>
      <c r="W80" s="17">
        <f t="shared" si="4"/>
        <v>17</v>
      </c>
      <c r="X80" s="17" t="str">
        <f t="shared" si="5"/>
        <v>Alto</v>
      </c>
      <c r="Y80" s="17" t="s">
        <v>851</v>
      </c>
      <c r="Z80" s="17" t="e" vm="1">
        <f>VLOOKUP(Tabela7[[#This Row],[Controle]],[1]!Tabela135[#Data],33,FALSE)</f>
        <v>#REF!</v>
      </c>
      <c r="AA80" s="17" t="e" vm="1">
        <f>VLOOKUP(Tabela7[[#This Row],[Controle]],[1]!Tabela135[#Data],34,FALSE)</f>
        <v>#REF!</v>
      </c>
      <c r="AB80" s="17" t="s">
        <v>854</v>
      </c>
      <c r="AC80" s="17"/>
      <c r="AD80" s="17"/>
      <c r="AE80" s="17"/>
      <c r="AF80" s="72"/>
      <c r="AH80" s="72"/>
      <c r="AI80" s="72"/>
      <c r="AJ80" s="72"/>
      <c r="AK80" s="72"/>
    </row>
    <row r="81" spans="1:37" ht="35.25" customHeight="1">
      <c r="A81" s="21" t="s">
        <v>2142</v>
      </c>
      <c r="B81" s="28" t="s">
        <v>2143</v>
      </c>
      <c r="C81" s="17" t="s">
        <v>917</v>
      </c>
      <c r="D81" s="17" t="s">
        <v>230</v>
      </c>
      <c r="E81" s="17" t="str" cm="1">
        <f t="array" ref="E81">IF($F81="Information Disclosure",Formatação!H$5,IF($F81="Repudiation",Formatação!H$4,IF($F81="Spoofing",Formatação!H$2,IF($F81="Tampering",Formatação!H$3, IF($F81="Denial of Service",Formatação!H$6,IF($F81="Elevation of Privilege",Formatação!H$7,IF($F81="Lateral Movement",Formatação!H$8,Errado)))))))</f>
        <v>Autenticação</v>
      </c>
      <c r="F81" s="17" t="s">
        <v>102</v>
      </c>
      <c r="G81" s="17" t="str" cm="1">
        <f t="array" ref="G81">IF($F81="Information Disclosure",Formatação!J$5,IF($F81="Repudiation",Formatação!J$4,IF($F81="Spoofing",Formatação!J$2,IF($F81="Tampering",Formatação!J$3, IF($F81="Denial of Service",Formatação!J$6,IF($F81="Elevation of Privilege",Formatação!J$7,IF($F81="Lateral Movement",Formatação!J$8,Errado)))))))</f>
        <v>Fraudes/Vazamento de dados</v>
      </c>
      <c r="H81" s="17" t="s">
        <v>23</v>
      </c>
      <c r="I81" s="17" t="s">
        <v>231</v>
      </c>
      <c r="J81" s="17" t="s">
        <v>232</v>
      </c>
      <c r="K81" s="17" t="s">
        <v>847</v>
      </c>
      <c r="L81" s="17" t="s">
        <v>847</v>
      </c>
      <c r="M81" s="17" t="s">
        <v>847</v>
      </c>
      <c r="N81" s="17" t="s">
        <v>1293</v>
      </c>
      <c r="O81" s="17" t="s">
        <v>849</v>
      </c>
      <c r="P81" s="17" t="s">
        <v>848</v>
      </c>
      <c r="Q81" s="17" t="s">
        <v>848</v>
      </c>
      <c r="R81" s="17" t="s">
        <v>849</v>
      </c>
      <c r="S81" s="17" t="s">
        <v>849</v>
      </c>
      <c r="T81" s="17" t="s">
        <v>849</v>
      </c>
      <c r="U81" s="17" t="s">
        <v>849</v>
      </c>
      <c r="V81" s="17" t="s">
        <v>850</v>
      </c>
      <c r="W81" s="17">
        <f t="shared" si="4"/>
        <v>18</v>
      </c>
      <c r="X81" s="17" t="str">
        <f t="shared" si="5"/>
        <v>Alto</v>
      </c>
      <c r="Y81" s="17" t="s">
        <v>2144</v>
      </c>
      <c r="Z81" s="17" t="s">
        <v>2134</v>
      </c>
      <c r="AA81" s="17" t="s">
        <v>2145</v>
      </c>
      <c r="AB81" s="17" t="s">
        <v>854</v>
      </c>
      <c r="AC81" s="17"/>
      <c r="AD81" s="17"/>
      <c r="AE81" s="17"/>
      <c r="AF81" s="72"/>
      <c r="AH81" s="72"/>
      <c r="AI81" s="72"/>
      <c r="AJ81" s="72"/>
      <c r="AK81" s="72"/>
    </row>
    <row r="82" spans="1:37" ht="35.25" customHeight="1">
      <c r="A82" s="21" t="s">
        <v>2146</v>
      </c>
      <c r="B82" s="28" t="s">
        <v>2147</v>
      </c>
      <c r="C82" s="17" t="s">
        <v>920</v>
      </c>
      <c r="D82" s="17" t="s">
        <v>230</v>
      </c>
      <c r="E82" s="17" t="str" cm="1">
        <f t="array" ref="E82">IF($F82="Information Disclosure",Formatação!H$5,IF($F82="Repudiation",Formatação!H$4,IF($F82="Spoofing",Formatação!H$2,IF($F82="Tampering",Formatação!H$3, IF($F82="Denial of Service",Formatação!H$6,IF($F82="Elevation of Privilege",Formatação!H$7,IF($F82="Lateral Movement",Formatação!H$8,Errado)))))))</f>
        <v>Autenticação</v>
      </c>
      <c r="F82" s="17" t="s">
        <v>102</v>
      </c>
      <c r="G82" s="17" t="str" cm="1">
        <f t="array" ref="G82">IF($F82="Information Disclosure",Formatação!J$5,IF($F82="Repudiation",Formatação!J$4,IF($F82="Spoofing",Formatação!J$2,IF($F82="Tampering",Formatação!J$3, IF($F82="Denial of Service",Formatação!J$6,IF($F82="Elevation of Privilege",Formatação!J$7,IF($F82="Lateral Movement",Formatação!J$8,Errado)))))))</f>
        <v>Fraudes/Vazamento de dados</v>
      </c>
      <c r="H82" s="17" t="s">
        <v>23</v>
      </c>
      <c r="I82" s="17" t="s">
        <v>231</v>
      </c>
      <c r="J82" s="17" t="s">
        <v>232</v>
      </c>
      <c r="K82" s="17" t="s">
        <v>847</v>
      </c>
      <c r="L82" s="17" t="s">
        <v>847</v>
      </c>
      <c r="M82" s="17" t="s">
        <v>847</v>
      </c>
      <c r="N82" s="17" t="s">
        <v>847</v>
      </c>
      <c r="O82" s="17" t="s">
        <v>1614</v>
      </c>
      <c r="P82" s="17" t="s">
        <v>848</v>
      </c>
      <c r="Q82" s="17" t="s">
        <v>848</v>
      </c>
      <c r="R82" s="17" t="s">
        <v>849</v>
      </c>
      <c r="S82" s="17" t="s">
        <v>849</v>
      </c>
      <c r="T82" s="17" t="s">
        <v>849</v>
      </c>
      <c r="U82" s="17" t="s">
        <v>849</v>
      </c>
      <c r="V82" s="17" t="s">
        <v>850</v>
      </c>
      <c r="W82" s="17">
        <f t="shared" si="4"/>
        <v>16</v>
      </c>
      <c r="X82" s="17" t="str">
        <f t="shared" si="5"/>
        <v>Alto</v>
      </c>
      <c r="Y82" s="17" t="s">
        <v>851</v>
      </c>
      <c r="Z82" s="17" t="s">
        <v>2148</v>
      </c>
      <c r="AA82" s="17" t="s">
        <v>2149</v>
      </c>
      <c r="AB82" s="17" t="s">
        <v>854</v>
      </c>
      <c r="AC82" s="17"/>
      <c r="AD82" s="17"/>
      <c r="AE82" s="17"/>
    </row>
    <row r="83" spans="1:37" ht="35.25" customHeight="1">
      <c r="A83" s="21" t="s">
        <v>2150</v>
      </c>
      <c r="B83" s="28" t="s">
        <v>922</v>
      </c>
      <c r="C83" s="17" t="s">
        <v>923</v>
      </c>
      <c r="D83" s="17" t="s">
        <v>230</v>
      </c>
      <c r="E83" s="17" t="str" cm="1">
        <f t="array" ref="E83">IF($F83="Information Disclosure",Formatação!H$5,IF($F83="Repudiation",Formatação!H$4,IF($F83="Spoofing",Formatação!H$2,IF($F83="Tampering",Formatação!H$3, IF($F83="Denial of Service",Formatação!H$6,IF($F83="Elevation of Privilege",Formatação!H$7,IF($F83="Lateral Movement",Formatação!H$8,Errado)))))))</f>
        <v>Confidencialidade</v>
      </c>
      <c r="F83" s="17" t="s">
        <v>35</v>
      </c>
      <c r="G83" s="17" t="str" cm="1">
        <f t="array" ref="G83">IF($F83="Information Disclosure",Formatação!J$5,IF($F83="Repudiation",Formatação!J$4,IF($F83="Spoofing",Formatação!J$2,IF($F83="Tampering",Formatação!J$3, IF($F83="Denial of Service",Formatação!J$6,IF($F83="Elevation of Privilege",Formatação!J$7,IF($F83="Lateral Movement",Formatação!J$8,Errado)))))))</f>
        <v>Vazamento de dados</v>
      </c>
      <c r="H83" s="17" t="s">
        <v>29</v>
      </c>
      <c r="I83" s="17" t="s">
        <v>231</v>
      </c>
      <c r="J83" s="17" t="s">
        <v>232</v>
      </c>
      <c r="K83" s="17" t="s">
        <v>847</v>
      </c>
      <c r="L83" s="17" t="s">
        <v>847</v>
      </c>
      <c r="M83" s="17" t="s">
        <v>847</v>
      </c>
      <c r="N83" s="17" t="s">
        <v>847</v>
      </c>
      <c r="O83" s="17" t="s">
        <v>848</v>
      </c>
      <c r="P83" s="17" t="s">
        <v>848</v>
      </c>
      <c r="Q83" s="17" t="s">
        <v>848</v>
      </c>
      <c r="R83" s="17" t="s">
        <v>849</v>
      </c>
      <c r="S83" s="17" t="s">
        <v>849</v>
      </c>
      <c r="T83" s="17" t="s">
        <v>849</v>
      </c>
      <c r="U83" s="17" t="s">
        <v>849</v>
      </c>
      <c r="V83" s="17" t="s">
        <v>850</v>
      </c>
      <c r="W83" s="17">
        <f t="shared" si="4"/>
        <v>19</v>
      </c>
      <c r="X83" s="17" t="str">
        <f t="shared" si="5"/>
        <v>Crítico</v>
      </c>
      <c r="Y83" s="17" t="s">
        <v>851</v>
      </c>
      <c r="Z83" s="17" t="s">
        <v>2151</v>
      </c>
      <c r="AA83" s="17" t="s">
        <v>2152</v>
      </c>
      <c r="AB83" s="17" t="s">
        <v>854</v>
      </c>
      <c r="AC83" s="17"/>
      <c r="AD83" s="17"/>
      <c r="AE83" s="17"/>
    </row>
    <row r="84" spans="1:37" ht="35.25" customHeight="1">
      <c r="A84" s="92" t="s">
        <v>2153</v>
      </c>
      <c r="B84" s="53" t="s">
        <v>2154</v>
      </c>
      <c r="C84" s="93" t="s">
        <v>926</v>
      </c>
      <c r="D84" s="17" t="s">
        <v>230</v>
      </c>
      <c r="E84" s="17" t="str" cm="1">
        <f t="array" ref="E84">IF($F84="Information Disclosure",Formatação!H$5,IF($F84="Repudiation",Formatação!H$4,IF($F84="Spoofing",Formatação!H$2,IF($F84="Tampering",Formatação!H$3, IF($F84="Denial of Service",Formatação!H$6,IF($F84="Elevation of Privilege",Formatação!H$7,IF($F84="Lateral Movement",Formatação!H$8,Errado)))))))</f>
        <v>Disponibilidade</v>
      </c>
      <c r="F84" s="17" t="s">
        <v>239</v>
      </c>
      <c r="G84" s="17" t="str" cm="1">
        <f t="array" ref="G84">IF($F84="Information Disclosure",Formatação!J$5,IF($F84="Repudiation",Formatação!J$4,IF($F84="Spoofing",Formatação!J$2,IF($F84="Tampering",Formatação!J$3, IF($F84="Denial of Service",Formatação!J$6,IF($F84="Elevation of Privilege",Formatação!J$7,IF($F84="Lateral Movement",Formatação!J$8,Errado)))))))</f>
        <v>Indisponibilidade</v>
      </c>
      <c r="H84" s="17" t="s">
        <v>26</v>
      </c>
      <c r="I84" s="17" t="s">
        <v>231</v>
      </c>
      <c r="J84" s="17" t="s">
        <v>232</v>
      </c>
      <c r="K84" s="17" t="s">
        <v>847</v>
      </c>
      <c r="L84" s="17" t="s">
        <v>847</v>
      </c>
      <c r="M84" s="17" t="s">
        <v>847</v>
      </c>
      <c r="N84" s="17" t="s">
        <v>847</v>
      </c>
      <c r="O84" s="17" t="s">
        <v>848</v>
      </c>
      <c r="P84" s="17" t="s">
        <v>849</v>
      </c>
      <c r="Q84" s="17" t="s">
        <v>2155</v>
      </c>
      <c r="R84" s="17" t="s">
        <v>849</v>
      </c>
      <c r="S84" s="17" t="s">
        <v>849</v>
      </c>
      <c r="T84" s="17" t="s">
        <v>849</v>
      </c>
      <c r="U84" s="17" t="s">
        <v>849</v>
      </c>
      <c r="V84" s="17" t="s">
        <v>850</v>
      </c>
      <c r="W84" s="17">
        <f t="shared" si="4"/>
        <v>17</v>
      </c>
      <c r="X84" s="17" t="str">
        <f t="shared" si="5"/>
        <v>Alto</v>
      </c>
      <c r="Y84" s="17" t="s">
        <v>851</v>
      </c>
      <c r="Z84" s="17" t="s">
        <v>2156</v>
      </c>
      <c r="AA84" s="17" t="s">
        <v>2145</v>
      </c>
      <c r="AB84" s="17" t="s">
        <v>854</v>
      </c>
      <c r="AC84" s="17"/>
      <c r="AD84" s="17"/>
      <c r="AE84" s="17"/>
    </row>
    <row r="85" spans="1:37" ht="35.25" customHeight="1">
      <c r="A85" s="92" t="s">
        <v>2157</v>
      </c>
      <c r="B85" s="53" t="s">
        <v>2158</v>
      </c>
      <c r="C85" s="93" t="s">
        <v>929</v>
      </c>
      <c r="D85" s="17" t="s">
        <v>230</v>
      </c>
      <c r="E85" s="17" t="str" cm="1">
        <f t="array" ref="E85">IF($F85="Information Disclosure",Formatação!H$5,IF($F85="Repudiation",Formatação!H$4,IF($F85="Spoofing",Formatação!H$2,IF($F85="Tampering",Formatação!H$3, IF($F85="Denial of Service",Formatação!H$6,IF($F85="Elevation of Privilege",Formatação!H$7,IF($F85="Lateral Movement",Formatação!H$8,Errado)))))))</f>
        <v>Autorização</v>
      </c>
      <c r="F85" s="17" t="s">
        <v>22</v>
      </c>
      <c r="G85" s="17" t="str" cm="1">
        <f t="array" ref="G85">IF($F85="Information Disclosure",Formatação!J$5,IF($F85="Repudiation",Formatação!J$4,IF($F85="Spoofing",Formatação!J$2,IF($F85="Tampering",Formatação!J$3, IF($F85="Denial of Service",Formatação!J$6,IF($F85="Elevation of Privilege",Formatação!J$7,IF($F85="Lateral Movement",Formatação!J$8,Errado)))))))</f>
        <v>Danos financeiros/Vazamento de dados</v>
      </c>
      <c r="H85" s="17" t="s">
        <v>375</v>
      </c>
      <c r="I85" s="17" t="s">
        <v>409</v>
      </c>
      <c r="J85" s="17" t="s">
        <v>232</v>
      </c>
      <c r="K85" s="17" t="s">
        <v>847</v>
      </c>
      <c r="L85" s="17" t="s">
        <v>847</v>
      </c>
      <c r="M85" s="17" t="s">
        <v>847</v>
      </c>
      <c r="N85" s="17" t="s">
        <v>847</v>
      </c>
      <c r="O85" s="17" t="s">
        <v>849</v>
      </c>
      <c r="P85" s="17" t="s">
        <v>849</v>
      </c>
      <c r="Q85" s="17" t="s">
        <v>848</v>
      </c>
      <c r="R85" s="17" t="s">
        <v>849</v>
      </c>
      <c r="S85" s="17" t="s">
        <v>849</v>
      </c>
      <c r="T85" s="17" t="s">
        <v>849</v>
      </c>
      <c r="U85" s="17" t="s">
        <v>849</v>
      </c>
      <c r="V85" s="17" t="s">
        <v>848</v>
      </c>
      <c r="W85" s="17">
        <f t="shared" si="4"/>
        <v>18</v>
      </c>
      <c r="X85" s="17" t="str">
        <f t="shared" si="5"/>
        <v>Alto</v>
      </c>
      <c r="Y85" s="17" t="s">
        <v>2144</v>
      </c>
      <c r="Z85" s="17" t="s">
        <v>2159</v>
      </c>
      <c r="AA85" s="17" t="s">
        <v>2160</v>
      </c>
      <c r="AB85" s="17" t="s">
        <v>854</v>
      </c>
      <c r="AC85" s="17"/>
      <c r="AD85" s="17"/>
      <c r="AE85" s="17"/>
    </row>
    <row r="86" spans="1:37" ht="35.25" customHeight="1">
      <c r="A86" s="21" t="s">
        <v>2161</v>
      </c>
      <c r="B86" s="23" t="s">
        <v>2162</v>
      </c>
      <c r="C86" s="17" t="s">
        <v>931</v>
      </c>
      <c r="D86" s="17" t="s">
        <v>230</v>
      </c>
      <c r="E86" s="17" t="str" cm="1">
        <f t="array" ref="E86">IF($F86="Information Disclosure",Formatação!H$5,IF($F86="Repudiation",Formatação!H$4,IF($F86="Spoofing",Formatação!H$2,IF($F86="Tampering",Formatação!H$3, IF($F86="Denial of Service",Formatação!H$6,IF($F86="Elevation of Privilege",Formatação!H$7,IF($F86="Lateral Movement",Formatação!H$8,Errado)))))))</f>
        <v>Contenção</v>
      </c>
      <c r="F86" s="17" t="s">
        <v>20</v>
      </c>
      <c r="G86" s="17" t="str" cm="1">
        <f t="array" ref="G86">IF($F86="Information Disclosure",Formatação!J$5,IF($F86="Repudiation",Formatação!J$4,IF($F86="Spoofing",Formatação!J$2,IF($F86="Tampering",Formatação!J$3, IF($F86="Denial of Service",Formatação!J$6,IF($F86="Elevation of Privilege",Formatação!J$7,IF($F86="Lateral Movement",Formatação!J$8,Errado)))))))</f>
        <v>Vazamento de dados</v>
      </c>
      <c r="H86" s="17" t="s">
        <v>283</v>
      </c>
      <c r="I86" s="17" t="s">
        <v>231</v>
      </c>
      <c r="J86" s="17" t="s">
        <v>232</v>
      </c>
      <c r="K86" s="17" t="s">
        <v>847</v>
      </c>
      <c r="L86" s="17" t="s">
        <v>847</v>
      </c>
      <c r="M86" s="17" t="s">
        <v>847</v>
      </c>
      <c r="N86" s="17" t="s">
        <v>1293</v>
      </c>
      <c r="O86" s="17" t="s">
        <v>1614</v>
      </c>
      <c r="P86" s="17" t="s">
        <v>849</v>
      </c>
      <c r="Q86" s="17" t="s">
        <v>848</v>
      </c>
      <c r="R86" s="17" t="s">
        <v>849</v>
      </c>
      <c r="S86" s="17" t="s">
        <v>849</v>
      </c>
      <c r="T86" s="17" t="s">
        <v>849</v>
      </c>
      <c r="U86" s="17" t="s">
        <v>849</v>
      </c>
      <c r="V86" s="17" t="s">
        <v>850</v>
      </c>
      <c r="W86" s="17">
        <f t="shared" si="4"/>
        <v>15</v>
      </c>
      <c r="X86" s="17" t="str">
        <f t="shared" si="5"/>
        <v>Alto</v>
      </c>
      <c r="Y86" s="17" t="s">
        <v>851</v>
      </c>
      <c r="Z86" s="17" t="s">
        <v>2156</v>
      </c>
      <c r="AA86" s="17" t="s">
        <v>2149</v>
      </c>
      <c r="AB86" s="17" t="s">
        <v>854</v>
      </c>
      <c r="AC86" s="17"/>
      <c r="AD86" s="17"/>
      <c r="AE86" s="17"/>
    </row>
    <row r="87" spans="1:37" ht="35.25" customHeight="1">
      <c r="A87" s="21" t="s">
        <v>2163</v>
      </c>
      <c r="B87" s="53" t="s">
        <v>933</v>
      </c>
      <c r="C87" s="17" t="s">
        <v>531</v>
      </c>
      <c r="D87" s="17" t="s">
        <v>230</v>
      </c>
      <c r="E87" s="17" t="str" cm="1">
        <f t="array" ref="E87">IF($F87="Information Disclosure",Formatação!H$5,IF($F87="Repudiation",Formatação!H$4,IF($F87="Spoofing",Formatação!H$2,IF($F87="Tampering",Formatação!H$3, IF($F87="Denial of Service",Formatação!H$6,IF($F87="Elevation of Privilege",Formatação!H$7,IF($F87="Lateral Movement",Formatação!H$8,Errado)))))))</f>
        <v>Autenticação</v>
      </c>
      <c r="F87" s="17" t="s">
        <v>102</v>
      </c>
      <c r="G87" s="17" t="str" cm="1">
        <f t="array" ref="G87">IF($F87="Information Disclosure",Formatação!J$5,IF($F87="Repudiation",Formatação!J$4,IF($F87="Spoofing",Formatação!J$2,IF($F87="Tampering",Formatação!J$3, IF($F87="Denial of Service",Formatação!J$6,IF($F87="Elevation of Privilege",Formatação!J$7,IF($F87="Lateral Movement",Formatação!J$8,Errado)))))))</f>
        <v>Fraudes/Vazamento de dados</v>
      </c>
      <c r="H87" s="17" t="s">
        <v>271</v>
      </c>
      <c r="I87" s="17" t="s">
        <v>409</v>
      </c>
      <c r="J87" s="17" t="s">
        <v>413</v>
      </c>
      <c r="K87" s="17" t="s">
        <v>847</v>
      </c>
      <c r="L87" s="17" t="s">
        <v>847</v>
      </c>
      <c r="M87" s="17" t="s">
        <v>847</v>
      </c>
      <c r="N87" s="17" t="s">
        <v>847</v>
      </c>
      <c r="O87" s="17" t="s">
        <v>849</v>
      </c>
      <c r="P87" s="17" t="s">
        <v>848</v>
      </c>
      <c r="Q87" s="17" t="s">
        <v>848</v>
      </c>
      <c r="R87" s="17" t="s">
        <v>848</v>
      </c>
      <c r="S87" s="17" t="s">
        <v>848</v>
      </c>
      <c r="T87" s="17" t="s">
        <v>848</v>
      </c>
      <c r="U87" s="17" t="s">
        <v>848</v>
      </c>
      <c r="V87" s="17" t="s">
        <v>850</v>
      </c>
      <c r="W87" s="17">
        <f t="shared" si="4"/>
        <v>22</v>
      </c>
      <c r="X87" s="17" t="str">
        <f t="shared" si="5"/>
        <v>Crítico</v>
      </c>
      <c r="Y87" s="17" t="s">
        <v>851</v>
      </c>
      <c r="Z87" s="17" t="e" vm="1">
        <f>VLOOKUP(Tabela7[[#This Row],[Controle]],[1]!Tabela135[#Data],33,FALSE)</f>
        <v>#REF!</v>
      </c>
      <c r="AA87" s="17" t="e" vm="1">
        <f>VLOOKUP(Tabela7[[#This Row],[Controle]],[1]!Tabela135[#Data],34,FALSE)</f>
        <v>#REF!</v>
      </c>
      <c r="AB87" s="17" t="s">
        <v>856</v>
      </c>
      <c r="AC87" s="17"/>
      <c r="AD87" s="17"/>
      <c r="AE87" s="17"/>
      <c r="AF87" s="73"/>
      <c r="AG87" s="73"/>
    </row>
    <row r="88" spans="1:37" ht="35.25" customHeight="1">
      <c r="A88" s="21" t="s">
        <v>2164</v>
      </c>
      <c r="B88" s="53" t="s">
        <v>579</v>
      </c>
      <c r="C88" s="17" t="s">
        <v>580</v>
      </c>
      <c r="D88" s="17" t="s">
        <v>230</v>
      </c>
      <c r="E88" s="17" t="str" cm="1">
        <f t="array" ref="E88">IF($F88="Information Disclosure",Formatação!H$5,IF($F88="Repudiation",Formatação!H$4,IF($F88="Spoofing",Formatação!H$2,IF($F88="Tampering",Formatação!H$3, IF($F88="Denial of Service",Formatação!H$6,IF($F88="Elevation of Privilege",Formatação!H$7,IF($F88="Lateral Movement",Formatação!H$8,Errado)))))))</f>
        <v>Autenticação</v>
      </c>
      <c r="F88" s="17" t="s">
        <v>102</v>
      </c>
      <c r="G88" s="17" t="str" cm="1">
        <f t="array" ref="G88">IF($F88="Information Disclosure",Formatação!J$5,IF($F88="Repudiation",Formatação!J$4,IF($F88="Spoofing",Formatação!J$2,IF($F88="Tampering",Formatação!J$3, IF($F88="Denial of Service",Formatação!J$6,IF($F88="Elevation of Privilege",Formatação!J$7,IF($F88="Lateral Movement",Formatação!J$8,Errado)))))))</f>
        <v>Fraudes/Vazamento de dados</v>
      </c>
      <c r="H88" s="17" t="s">
        <v>23</v>
      </c>
      <c r="I88" s="17" t="s">
        <v>231</v>
      </c>
      <c r="J88" s="17" t="s">
        <v>232</v>
      </c>
      <c r="K88" s="17" t="s">
        <v>847</v>
      </c>
      <c r="L88" s="17" t="s">
        <v>847</v>
      </c>
      <c r="M88" s="17" t="s">
        <v>847</v>
      </c>
      <c r="N88" s="17" t="s">
        <v>847</v>
      </c>
      <c r="O88" s="17" t="s">
        <v>849</v>
      </c>
      <c r="P88" s="17" t="s">
        <v>848</v>
      </c>
      <c r="Q88" s="17" t="s">
        <v>848</v>
      </c>
      <c r="R88" s="17" t="s">
        <v>849</v>
      </c>
      <c r="S88" s="17" t="s">
        <v>849</v>
      </c>
      <c r="T88" s="17" t="s">
        <v>849</v>
      </c>
      <c r="U88" s="17" t="s">
        <v>849</v>
      </c>
      <c r="V88" s="17" t="s">
        <v>850</v>
      </c>
      <c r="W88" s="17">
        <f t="shared" si="4"/>
        <v>18</v>
      </c>
      <c r="X88" s="17" t="str">
        <f t="shared" si="5"/>
        <v>Alto</v>
      </c>
      <c r="Y88" s="17" t="s">
        <v>851</v>
      </c>
      <c r="Z88" s="17" t="e" vm="1">
        <f>VLOOKUP(Tabela7[[#This Row],[Controle]],[1]!Tabela135[#Data],33,FALSE)</f>
        <v>#REF!</v>
      </c>
      <c r="AA88" s="17" t="e" vm="1">
        <f>VLOOKUP(Tabela7[[#This Row],[Controle]],[1]!Tabela135[#Data],34,FALSE)</f>
        <v>#REF!</v>
      </c>
      <c r="AB88" s="17" t="s">
        <v>854</v>
      </c>
      <c r="AC88" s="17"/>
      <c r="AD88" s="17"/>
      <c r="AE88" s="17"/>
      <c r="AF88" s="73"/>
      <c r="AG88" s="73"/>
    </row>
    <row r="89" spans="1:37" ht="35.25" customHeight="1">
      <c r="A89" s="21" t="s">
        <v>2165</v>
      </c>
      <c r="B89" s="53" t="s">
        <v>941</v>
      </c>
      <c r="C89" s="17" t="s">
        <v>942</v>
      </c>
      <c r="D89" s="17" t="s">
        <v>230</v>
      </c>
      <c r="E89" s="17" t="str" cm="1">
        <f t="array" ref="E89">IF($F89="Information Disclosure",Formatação!H$5,IF($F89="Repudiation",Formatação!H$4,IF($F89="Spoofing",Formatação!H$2,IF($F89="Tampering",Formatação!H$3, IF($F89="Denial of Service",Formatação!H$6,IF($F89="Elevation of Privilege",Formatação!H$7,IF($F89="Lateral Movement",Formatação!H$8,Errado)))))))</f>
        <v>Não repúdio</v>
      </c>
      <c r="F89" s="17" t="s">
        <v>32</v>
      </c>
      <c r="G89" s="17" t="str" cm="1">
        <f t="array" ref="G89">IF($F89="Information Disclosure",Formatação!J$5,IF($F89="Repudiation",Formatação!J$4,IF($F89="Spoofing",Formatação!J$2,IF($F89="Tampering",Formatação!J$3, IF($F89="Denial of Service",Formatação!J$6,IF($F89="Elevation of Privilege",Formatação!J$7,IF($F89="Lateral Movement",Formatação!J$8,Errado)))))))</f>
        <v>Regulatório/Compliance</v>
      </c>
      <c r="H89" s="17" t="s">
        <v>375</v>
      </c>
      <c r="I89" s="17" t="s">
        <v>943</v>
      </c>
      <c r="J89" s="17" t="s">
        <v>944</v>
      </c>
      <c r="K89" s="17" t="s">
        <v>847</v>
      </c>
      <c r="L89" s="17" t="s">
        <v>847</v>
      </c>
      <c r="M89" s="17" t="s">
        <v>847</v>
      </c>
      <c r="N89" s="17" t="s">
        <v>1293</v>
      </c>
      <c r="O89" s="17" t="s">
        <v>849</v>
      </c>
      <c r="P89" s="17" t="s">
        <v>849</v>
      </c>
      <c r="Q89" s="17" t="s">
        <v>2155</v>
      </c>
      <c r="R89" s="17" t="s">
        <v>849</v>
      </c>
      <c r="S89" s="17" t="s">
        <v>849</v>
      </c>
      <c r="T89" s="17" t="s">
        <v>849</v>
      </c>
      <c r="U89" s="17" t="s">
        <v>849</v>
      </c>
      <c r="V89" s="17" t="s">
        <v>1614</v>
      </c>
      <c r="W89" s="17">
        <f t="shared" si="4"/>
        <v>14</v>
      </c>
      <c r="X89" s="17" t="str">
        <f t="shared" si="5"/>
        <v>Moderado</v>
      </c>
      <c r="Y89" s="17" t="s">
        <v>862</v>
      </c>
      <c r="Z89" s="17" t="s">
        <v>2166</v>
      </c>
      <c r="AA89" s="17" t="s">
        <v>2167</v>
      </c>
      <c r="AB89" s="17" t="s">
        <v>854</v>
      </c>
      <c r="AC89" s="17"/>
      <c r="AD89" s="17"/>
      <c r="AE89" s="17"/>
      <c r="AF89" s="73"/>
      <c r="AG89" s="73"/>
    </row>
    <row r="90" spans="1:37" ht="35.25" customHeight="1">
      <c r="A90" s="21" t="s">
        <v>2168</v>
      </c>
      <c r="B90" s="53" t="s">
        <v>946</v>
      </c>
      <c r="C90" s="17" t="s">
        <v>947</v>
      </c>
      <c r="D90" s="17" t="s">
        <v>230</v>
      </c>
      <c r="E90" s="17" t="str" cm="1">
        <f t="array" ref="E90">IF($F90="Information Disclosure",Formatação!H$5,IF($F90="Repudiation",Formatação!H$4,IF($F90="Spoofing",Formatação!H$2,IF($F90="Tampering",Formatação!H$3, IF($F90="Denial of Service",Formatação!H$6,IF($F90="Elevation of Privilege",Formatação!H$7,IF($F90="Lateral Movement",Formatação!H$8,Errado)))))))</f>
        <v>Integridade</v>
      </c>
      <c r="F90" s="17" t="s">
        <v>25</v>
      </c>
      <c r="G90" s="17" t="str" cm="1">
        <f t="array" ref="G90">IF($F90="Information Disclosure",Formatação!J$5,IF($F90="Repudiation",Formatação!J$4,IF($F90="Spoofing",Formatação!J$2,IF($F90="Tampering",Formatação!J$3, IF($F90="Denial of Service",Formatação!J$6,IF($F90="Elevation of Privilege",Formatação!J$7,IF($F90="Lateral Movement",Formatação!J$8,Errado)))))))</f>
        <v>Danos a imagem</v>
      </c>
      <c r="H90" s="17" t="s">
        <v>14</v>
      </c>
      <c r="I90" s="17" t="s">
        <v>409</v>
      </c>
      <c r="J90" s="17" t="s">
        <v>232</v>
      </c>
      <c r="K90" s="17" t="s">
        <v>847</v>
      </c>
      <c r="L90" s="17" t="s">
        <v>847</v>
      </c>
      <c r="M90" s="17" t="s">
        <v>847</v>
      </c>
      <c r="N90" s="17" t="s">
        <v>1293</v>
      </c>
      <c r="O90" s="17" t="s">
        <v>849</v>
      </c>
      <c r="P90" s="17" t="s">
        <v>849</v>
      </c>
      <c r="Q90" s="17" t="s">
        <v>848</v>
      </c>
      <c r="R90" s="17" t="s">
        <v>849</v>
      </c>
      <c r="S90" s="17" t="s">
        <v>849</v>
      </c>
      <c r="T90" s="17" t="s">
        <v>849</v>
      </c>
      <c r="U90" s="17" t="s">
        <v>849</v>
      </c>
      <c r="V90" s="17" t="s">
        <v>850</v>
      </c>
      <c r="W90" s="17">
        <f t="shared" si="4"/>
        <v>17</v>
      </c>
      <c r="X90" s="17" t="str">
        <f t="shared" si="5"/>
        <v>Alto</v>
      </c>
      <c r="Y90" s="17" t="s">
        <v>851</v>
      </c>
      <c r="Z90" s="17" t="e" vm="1">
        <f>VLOOKUP(Tabela7[[#This Row],[Controle]],[1]!Tabela135[#Data],33,FALSE)</f>
        <v>#REF!</v>
      </c>
      <c r="AA90" s="17" t="e" vm="1">
        <f>VLOOKUP(Tabela7[[#This Row],[Controle]],[1]!Tabela135[#Data],34,FALSE)</f>
        <v>#REF!</v>
      </c>
      <c r="AB90" s="17" t="s">
        <v>854</v>
      </c>
      <c r="AC90" s="17"/>
      <c r="AD90" s="17"/>
      <c r="AE90" s="77" t="s">
        <v>16</v>
      </c>
      <c r="AF90" s="73"/>
      <c r="AG90" s="73"/>
    </row>
    <row r="91" spans="1:37" ht="35.25" customHeight="1">
      <c r="A91" s="21" t="s">
        <v>2169</v>
      </c>
      <c r="B91" s="53" t="s">
        <v>949</v>
      </c>
      <c r="C91" s="17" t="s">
        <v>950</v>
      </c>
      <c r="D91" s="17" t="s">
        <v>230</v>
      </c>
      <c r="E91" s="17" t="str" cm="1">
        <f t="array" ref="E91">IF($F91="Information Disclosure",Formatação!H$5,IF($F91="Repudiation",Formatação!H$4,IF($F91="Spoofing",Formatação!H$2,IF($F91="Tampering",Formatação!H$3, IF($F91="Denial of Service",Formatação!H$6,IF($F91="Elevation of Privilege",Formatação!H$7,IF($F91="Lateral Movement",Formatação!H$8,Errado)))))))</f>
        <v>Integridade</v>
      </c>
      <c r="F91" s="17" t="s">
        <v>25</v>
      </c>
      <c r="G91" s="17" t="str" cm="1">
        <f t="array" ref="G91">IF($F91="Information Disclosure",Formatação!J$5,IF($F91="Repudiation",Formatação!J$4,IF($F91="Spoofing",Formatação!J$2,IF($F91="Tampering",Formatação!J$3, IF($F91="Denial of Service",Formatação!J$6,IF($F91="Elevation of Privilege",Formatação!J$7,IF($F91="Lateral Movement",Formatação!J$8,Errado)))))))</f>
        <v>Danos a imagem</v>
      </c>
      <c r="H91" s="17" t="s">
        <v>375</v>
      </c>
      <c r="I91" s="17" t="s">
        <v>951</v>
      </c>
      <c r="J91" s="17" t="s">
        <v>944</v>
      </c>
      <c r="K91" s="17" t="s">
        <v>847</v>
      </c>
      <c r="L91" s="17" t="s">
        <v>847</v>
      </c>
      <c r="M91" s="17" t="s">
        <v>847</v>
      </c>
      <c r="N91" s="17" t="s">
        <v>847</v>
      </c>
      <c r="O91" s="17" t="s">
        <v>1614</v>
      </c>
      <c r="P91" s="17" t="s">
        <v>848</v>
      </c>
      <c r="Q91" s="17" t="s">
        <v>2155</v>
      </c>
      <c r="R91" s="17" t="s">
        <v>849</v>
      </c>
      <c r="S91" s="17" t="s">
        <v>849</v>
      </c>
      <c r="T91" s="17" t="s">
        <v>849</v>
      </c>
      <c r="U91" s="17" t="s">
        <v>849</v>
      </c>
      <c r="V91" s="17" t="s">
        <v>1614</v>
      </c>
      <c r="W91" s="17">
        <f t="shared" si="4"/>
        <v>13</v>
      </c>
      <c r="X91" s="17" t="str">
        <f t="shared" si="5"/>
        <v>Moderado</v>
      </c>
      <c r="Y91" s="17" t="s">
        <v>851</v>
      </c>
      <c r="Z91" s="17" t="s">
        <v>2170</v>
      </c>
      <c r="AA91" s="17" t="s">
        <v>2171</v>
      </c>
      <c r="AB91" s="17" t="s">
        <v>952</v>
      </c>
      <c r="AC91" s="17"/>
      <c r="AD91" s="17"/>
      <c r="AE91" s="77" t="s">
        <v>16</v>
      </c>
    </row>
    <row r="92" spans="1:37" ht="35.25" customHeight="1">
      <c r="A92" s="21" t="s">
        <v>2172</v>
      </c>
      <c r="B92" s="53" t="s">
        <v>2173</v>
      </c>
      <c r="C92" s="17" t="s">
        <v>956</v>
      </c>
      <c r="D92" s="17" t="s">
        <v>230</v>
      </c>
      <c r="E92" s="17" t="str" cm="1">
        <f t="array" ref="E92">IF($F92="Information Disclosure",Formatação!H$5,IF($F92="Repudiation",Formatação!H$4,IF($F92="Spoofing",Formatação!H$2,IF($F92="Tampering",Formatação!H$3, IF($F92="Denial of Service",Formatação!H$6,IF($F92="Elevation of Privilege",Formatação!H$7,IF($F92="Lateral Movement",Formatação!H$8,Errado)))))))</f>
        <v>Integridade</v>
      </c>
      <c r="F92" s="17" t="s">
        <v>25</v>
      </c>
      <c r="G92" s="17" t="str" cm="1">
        <f t="array" ref="G92">IF($F92="Information Disclosure",Formatação!J$5,IF($F92="Repudiation",Formatação!J$4,IF($F92="Spoofing",Formatação!J$2,IF($F92="Tampering",Formatação!J$3, IF($F92="Denial of Service",Formatação!J$6,IF($F92="Elevation of Privilege",Formatação!J$7,IF($F92="Lateral Movement",Formatação!J$8,Errado)))))))</f>
        <v>Danos a imagem</v>
      </c>
      <c r="H92" s="17" t="s">
        <v>375</v>
      </c>
      <c r="I92" s="17" t="s">
        <v>951</v>
      </c>
      <c r="J92" s="17" t="s">
        <v>413</v>
      </c>
      <c r="K92" s="17" t="s">
        <v>847</v>
      </c>
      <c r="L92" s="17" t="s">
        <v>847</v>
      </c>
      <c r="M92" s="17" t="s">
        <v>847</v>
      </c>
      <c r="N92" s="17" t="s">
        <v>847</v>
      </c>
      <c r="O92" s="17" t="s">
        <v>1614</v>
      </c>
      <c r="P92" s="17" t="s">
        <v>848</v>
      </c>
      <c r="Q92" s="17" t="s">
        <v>848</v>
      </c>
      <c r="R92" s="17" t="s">
        <v>849</v>
      </c>
      <c r="S92" s="17" t="s">
        <v>849</v>
      </c>
      <c r="T92" s="17" t="s">
        <v>849</v>
      </c>
      <c r="U92" s="17" t="s">
        <v>849</v>
      </c>
      <c r="V92" s="17" t="s">
        <v>848</v>
      </c>
      <c r="W92" s="17">
        <f t="shared" si="4"/>
        <v>17</v>
      </c>
      <c r="X92" s="17" t="str">
        <f t="shared" si="5"/>
        <v>Alto</v>
      </c>
      <c r="Y92" s="17" t="s">
        <v>851</v>
      </c>
      <c r="Z92" s="17" t="s">
        <v>2174</v>
      </c>
      <c r="AA92" s="17" t="s">
        <v>2171</v>
      </c>
      <c r="AB92" s="17" t="s">
        <v>856</v>
      </c>
      <c r="AC92" s="17"/>
      <c r="AD92" s="17"/>
      <c r="AE92" s="77" t="s">
        <v>16</v>
      </c>
    </row>
    <row r="93" spans="1:37" ht="35.25" customHeight="1">
      <c r="A93" s="21" t="s">
        <v>2175</v>
      </c>
      <c r="B93" s="53" t="s">
        <v>958</v>
      </c>
      <c r="C93" s="17" t="s">
        <v>959</v>
      </c>
      <c r="D93" s="17" t="s">
        <v>230</v>
      </c>
      <c r="E93" s="17" t="str" cm="1">
        <f t="array" ref="E93">IF($F93="Information Disclosure",Formatação!H$5,IF($F93="Repudiation",Formatação!H$4,IF($F93="Spoofing",Formatação!H$2,IF($F93="Tampering",Formatação!H$3, IF($F93="Denial of Service",Formatação!H$6,IF($F93="Elevation of Privilege",Formatação!H$7,IF($F93="Lateral Movement",Formatação!H$8,Errado)))))))</f>
        <v>Confidencialidade</v>
      </c>
      <c r="F93" s="17" t="s">
        <v>35</v>
      </c>
      <c r="G93" s="17" t="str" cm="1">
        <f t="array" ref="G93">IF($F93="Information Disclosure",Formatação!J$5,IF($F93="Repudiation",Formatação!J$4,IF($F93="Spoofing",Formatação!J$2,IF($F93="Tampering",Formatação!J$3, IF($F93="Denial of Service",Formatação!J$6,IF($F93="Elevation of Privilege",Formatação!J$7,IF($F93="Lateral Movement",Formatação!J$8,Errado)))))))</f>
        <v>Vazamento de dados</v>
      </c>
      <c r="H93" s="17" t="s">
        <v>244</v>
      </c>
      <c r="I93" s="17" t="s">
        <v>960</v>
      </c>
      <c r="J93" s="17" t="s">
        <v>232</v>
      </c>
      <c r="K93" s="17" t="s">
        <v>847</v>
      </c>
      <c r="L93" s="17" t="s">
        <v>847</v>
      </c>
      <c r="M93" s="17" t="s">
        <v>847</v>
      </c>
      <c r="N93" s="17" t="s">
        <v>847</v>
      </c>
      <c r="O93" s="17" t="s">
        <v>849</v>
      </c>
      <c r="P93" s="17" t="s">
        <v>848</v>
      </c>
      <c r="Q93" s="17" t="s">
        <v>848</v>
      </c>
      <c r="R93" s="17" t="s">
        <v>849</v>
      </c>
      <c r="S93" s="17" t="s">
        <v>849</v>
      </c>
      <c r="T93" s="17" t="s">
        <v>849</v>
      </c>
      <c r="U93" s="17" t="s">
        <v>849</v>
      </c>
      <c r="V93" s="17" t="s">
        <v>1614</v>
      </c>
      <c r="W93" s="17">
        <f t="shared" si="4"/>
        <v>16</v>
      </c>
      <c r="X93" s="17" t="str">
        <f t="shared" si="5"/>
        <v>Alto</v>
      </c>
      <c r="Y93" s="17" t="s">
        <v>2144</v>
      </c>
      <c r="Z93" s="17" t="s">
        <v>2170</v>
      </c>
      <c r="AA93" s="17" t="s">
        <v>2176</v>
      </c>
      <c r="AB93" s="17" t="s">
        <v>854</v>
      </c>
      <c r="AC93" s="17"/>
      <c r="AD93" s="17"/>
      <c r="AE93" s="77" t="s">
        <v>16</v>
      </c>
    </row>
    <row r="94" spans="1:37" ht="35.25" customHeight="1">
      <c r="A94" s="21" t="s">
        <v>2177</v>
      </c>
      <c r="B94" s="53" t="s">
        <v>962</v>
      </c>
      <c r="C94" s="17" t="s">
        <v>963</v>
      </c>
      <c r="D94" s="17" t="s">
        <v>230</v>
      </c>
      <c r="E94" s="17" t="str" cm="1">
        <f t="array" ref="E94">IF($F94="Information Disclosure",Formatação!H$5,IF($F94="Repudiation",Formatação!H$4,IF($F94="Spoofing",Formatação!H$2,IF($F94="Tampering",Formatação!H$3, IF($F94="Denial of Service",Formatação!H$6,IF($F94="Elevation of Privilege",Formatação!H$7,IF($F94="Lateral Movement",Formatação!H$8,Errado)))))))</f>
        <v>Disponibilidade</v>
      </c>
      <c r="F94" s="17" t="s">
        <v>239</v>
      </c>
      <c r="G94" s="17" t="str" cm="1">
        <f t="array" ref="G94">IF($F94="Information Disclosure",Formatação!J$5,IF($F94="Repudiation",Formatação!J$4,IF($F94="Spoofing",Formatação!J$2,IF($F94="Tampering",Formatação!J$3, IF($F94="Denial of Service",Formatação!J$6,IF($F94="Elevation of Privilege",Formatação!J$7,IF($F94="Lateral Movement",Formatação!J$8,Errado)))))))</f>
        <v>Indisponibilidade</v>
      </c>
      <c r="H94" s="17" t="s">
        <v>375</v>
      </c>
      <c r="I94" s="17" t="s">
        <v>964</v>
      </c>
      <c r="J94" s="17" t="s">
        <v>965</v>
      </c>
      <c r="K94" s="17" t="s">
        <v>847</v>
      </c>
      <c r="L94" s="17" t="s">
        <v>847</v>
      </c>
      <c r="M94" s="17" t="s">
        <v>847</v>
      </c>
      <c r="N94" s="17" t="s">
        <v>847</v>
      </c>
      <c r="O94" s="17" t="s">
        <v>849</v>
      </c>
      <c r="P94" s="17" t="s">
        <v>849</v>
      </c>
      <c r="Q94" s="17" t="s">
        <v>2155</v>
      </c>
      <c r="R94" s="17" t="s">
        <v>849</v>
      </c>
      <c r="S94" s="17" t="s">
        <v>849</v>
      </c>
      <c r="T94" s="17" t="s">
        <v>849</v>
      </c>
      <c r="U94" s="17" t="s">
        <v>849</v>
      </c>
      <c r="V94" s="17" t="s">
        <v>848</v>
      </c>
      <c r="W94" s="17">
        <f t="shared" si="4"/>
        <v>17</v>
      </c>
      <c r="X94" s="17" t="str">
        <f t="shared" si="5"/>
        <v>Alto</v>
      </c>
      <c r="Y94" s="17" t="s">
        <v>862</v>
      </c>
      <c r="Z94" s="17" t="s">
        <v>2178</v>
      </c>
      <c r="AA94" s="17" t="s">
        <v>2179</v>
      </c>
      <c r="AB94" s="17" t="s">
        <v>966</v>
      </c>
      <c r="AC94" s="17"/>
      <c r="AD94" s="17"/>
      <c r="AE94" s="77" t="s">
        <v>16</v>
      </c>
    </row>
    <row r="95" spans="1:37" ht="35.25" customHeight="1">
      <c r="A95" s="21" t="s">
        <v>2180</v>
      </c>
      <c r="B95" s="53" t="s">
        <v>2181</v>
      </c>
      <c r="C95" s="17" t="s">
        <v>2182</v>
      </c>
      <c r="D95" s="17" t="s">
        <v>230</v>
      </c>
      <c r="E95" s="17" t="str" cm="1">
        <f t="array" ref="E95">IF($F95="Information Disclosure",Formatação!H$5,IF($F95="Repudiation",Formatação!H$4,IF($F95="Spoofing",Formatação!H$2,IF($F95="Tampering",Formatação!H$3, IF($F95="Denial of Service",Formatação!H$6,IF($F95="Elevation of Privilege",Formatação!H$7,IF($F95="Lateral Movement",Formatação!H$8,Errado)))))))</f>
        <v>Confidencialidade</v>
      </c>
      <c r="F95" s="17" t="s">
        <v>35</v>
      </c>
      <c r="G95" s="17" t="str" cm="1">
        <f t="array" ref="G95">IF($F95="Information Disclosure",Formatação!J$5,IF($F95="Repudiation",Formatação!J$4,IF($F95="Spoofing",Formatação!J$2,IF($F95="Tampering",Formatação!J$3, IF($F95="Denial of Service",Formatação!J$6,IF($F95="Elevation of Privilege",Formatação!J$7,IF($F95="Lateral Movement",Formatação!J$8,Errado)))))))</f>
        <v>Vazamento de dados</v>
      </c>
      <c r="H95" s="17" t="s">
        <v>33</v>
      </c>
      <c r="I95" s="17" t="s">
        <v>943</v>
      </c>
      <c r="J95" s="17" t="s">
        <v>232</v>
      </c>
      <c r="K95" s="17" t="s">
        <v>847</v>
      </c>
      <c r="L95" s="17" t="s">
        <v>847</v>
      </c>
      <c r="M95" s="17" t="s">
        <v>847</v>
      </c>
      <c r="N95" s="17" t="s">
        <v>847</v>
      </c>
      <c r="O95" s="17" t="s">
        <v>849</v>
      </c>
      <c r="P95" s="17" t="s">
        <v>848</v>
      </c>
      <c r="Q95" s="17" t="s">
        <v>848</v>
      </c>
      <c r="R95" s="17" t="s">
        <v>848</v>
      </c>
      <c r="S95" s="17" t="s">
        <v>848</v>
      </c>
      <c r="T95" s="17" t="s">
        <v>848</v>
      </c>
      <c r="U95" s="17" t="s">
        <v>848</v>
      </c>
      <c r="V95" s="17" t="s">
        <v>849</v>
      </c>
      <c r="W95" s="17">
        <f t="shared" si="4"/>
        <v>22</v>
      </c>
      <c r="X95" s="17" t="str">
        <f t="shared" si="5"/>
        <v>Crítico</v>
      </c>
      <c r="Y95" s="17" t="s">
        <v>851</v>
      </c>
      <c r="Z95" s="17" t="s">
        <v>852</v>
      </c>
      <c r="AA95" s="17" t="s">
        <v>2183</v>
      </c>
      <c r="AB95" s="17"/>
      <c r="AC95" s="17"/>
      <c r="AD95" s="17"/>
      <c r="AE95" s="17"/>
    </row>
    <row r="96" spans="1:37" ht="35.25" customHeight="1">
      <c r="A96" s="21" t="s">
        <v>2184</v>
      </c>
      <c r="B96" s="53" t="s">
        <v>982</v>
      </c>
      <c r="C96" s="17" t="s">
        <v>652</v>
      </c>
      <c r="D96" s="17" t="s">
        <v>218</v>
      </c>
      <c r="E96" s="17" t="str" cm="1">
        <f t="array" ref="E96">IF($F96="Information Disclosure",Formatação!H$5,IF($F96="Repudiation",Formatação!H$4,IF($F96="Spoofing",Formatação!H$2,IF($F96="Tampering",Formatação!H$3, IF($F96="Denial of Service",Formatação!H$6,IF($F96="Elevation of Privilege",Formatação!H$7,IF($F96="Lateral Movement",Formatação!H$8,Errado)))))))</f>
        <v>Integridade</v>
      </c>
      <c r="F96" s="17" t="s">
        <v>25</v>
      </c>
      <c r="G96" s="17" t="str" cm="1">
        <f t="array" ref="G96">IF($F96="Information Disclosure",Formatação!J$5,IF($F96="Repudiation",Formatação!J$4,IF($F96="Spoofing",Formatação!J$2,IF($F96="Tampering",Formatação!J$3, IF($F96="Denial of Service",Formatação!J$6,IF($F96="Elevation of Privilege",Formatação!J$7,IF($F96="Lateral Movement",Formatação!J$8,Errado)))))))</f>
        <v>Danos a imagem</v>
      </c>
      <c r="H96" s="17" t="s">
        <v>244</v>
      </c>
      <c r="I96" s="17" t="s">
        <v>425</v>
      </c>
      <c r="J96" s="17" t="s">
        <v>357</v>
      </c>
      <c r="K96" s="17" t="s">
        <v>847</v>
      </c>
      <c r="L96" s="17" t="s">
        <v>847</v>
      </c>
      <c r="M96" s="17" t="s">
        <v>1293</v>
      </c>
      <c r="N96" s="17" t="s">
        <v>1293</v>
      </c>
      <c r="O96" s="17" t="s">
        <v>848</v>
      </c>
      <c r="P96" s="17" t="s">
        <v>1614</v>
      </c>
      <c r="Q96" s="17" t="s">
        <v>848</v>
      </c>
      <c r="R96" s="17" t="s">
        <v>849</v>
      </c>
      <c r="S96" s="17" t="s">
        <v>849</v>
      </c>
      <c r="T96" s="17" t="s">
        <v>849</v>
      </c>
      <c r="U96" s="17" t="s">
        <v>849</v>
      </c>
      <c r="V96" s="17" t="s">
        <v>850</v>
      </c>
      <c r="W96" s="17">
        <f t="shared" si="4"/>
        <v>16</v>
      </c>
      <c r="X96" s="17" t="str">
        <f t="shared" si="5"/>
        <v>Alto</v>
      </c>
      <c r="Y96" s="17" t="s">
        <v>851</v>
      </c>
      <c r="Z96" s="17" t="s">
        <v>2185</v>
      </c>
      <c r="AA96" s="17" t="s">
        <v>2186</v>
      </c>
      <c r="AB96" s="17" t="s">
        <v>978</v>
      </c>
      <c r="AC96" s="17"/>
      <c r="AD96" s="17"/>
      <c r="AE96" s="17"/>
    </row>
    <row r="97" spans="1:31" ht="35.25" customHeight="1">
      <c r="A97" s="21" t="s">
        <v>2187</v>
      </c>
      <c r="B97" s="53" t="s">
        <v>643</v>
      </c>
      <c r="C97" s="17" t="s">
        <v>644</v>
      </c>
      <c r="D97" s="17" t="s">
        <v>120</v>
      </c>
      <c r="E97" s="17" t="str" cm="1">
        <f t="array" ref="E97">IF($F97="Information Disclosure",Formatação!H$5,IF($F97="Repudiation",Formatação!H$4,IF($F97="Spoofing",Formatação!H$2,IF($F97="Tampering",Formatação!H$3, IF($F97="Denial of Service",Formatação!H$6,IF($F97="Elevation of Privilege",Formatação!H$7,IF($F97="Lateral Movement",Formatação!H$8,Errado)))))))</f>
        <v>Disponibilidade</v>
      </c>
      <c r="F97" s="17" t="s">
        <v>239</v>
      </c>
      <c r="G97" s="17" t="str" cm="1">
        <f t="array" ref="G97">IF($F97="Information Disclosure",Formatação!J$5,IF($F97="Repudiation",Formatação!J$4,IF($F97="Spoofing",Formatação!J$2,IF($F97="Tampering",Formatação!J$3, IF($F97="Denial of Service",Formatação!J$6,IF($F97="Elevation of Privilege",Formatação!J$7,IF($F97="Lateral Movement",Formatação!J$8,Errado)))))))</f>
        <v>Indisponibilidade</v>
      </c>
      <c r="H97" s="17" t="s">
        <v>26</v>
      </c>
      <c r="I97" s="17" t="s">
        <v>425</v>
      </c>
      <c r="J97" s="17" t="s">
        <v>357</v>
      </c>
      <c r="K97" s="17" t="s">
        <v>847</v>
      </c>
      <c r="L97" s="17" t="s">
        <v>847</v>
      </c>
      <c r="M97" s="17" t="s">
        <v>847</v>
      </c>
      <c r="N97" s="17" t="s">
        <v>1293</v>
      </c>
      <c r="O97" s="17" t="s">
        <v>849</v>
      </c>
      <c r="P97" s="17" t="s">
        <v>849</v>
      </c>
      <c r="Q97" s="17" t="s">
        <v>2155</v>
      </c>
      <c r="R97" s="17" t="s">
        <v>849</v>
      </c>
      <c r="S97" s="17" t="s">
        <v>849</v>
      </c>
      <c r="T97" s="17" t="s">
        <v>849</v>
      </c>
      <c r="U97" s="17" t="s">
        <v>849</v>
      </c>
      <c r="V97" s="17" t="s">
        <v>848</v>
      </c>
      <c r="W97" s="17">
        <f t="shared" si="4"/>
        <v>17</v>
      </c>
      <c r="X97" s="17" t="str">
        <f t="shared" si="5"/>
        <v>Alto</v>
      </c>
      <c r="Y97" s="17" t="s">
        <v>862</v>
      </c>
      <c r="Z97" s="17" t="s">
        <v>852</v>
      </c>
      <c r="AA97" s="17" t="s">
        <v>2188</v>
      </c>
      <c r="AB97" s="17" t="s">
        <v>854</v>
      </c>
      <c r="AC97" s="17"/>
      <c r="AD97" s="17"/>
      <c r="AE97" s="17"/>
    </row>
    <row r="98" spans="1:31" ht="35.25" customHeight="1">
      <c r="A98" s="21" t="s">
        <v>2189</v>
      </c>
      <c r="B98" s="53" t="s">
        <v>645</v>
      </c>
      <c r="C98" s="17" t="s">
        <v>646</v>
      </c>
      <c r="D98" s="17" t="s">
        <v>218</v>
      </c>
      <c r="E98" s="17" t="str" cm="1">
        <f t="array" ref="E98">IF($F98="Information Disclosure",Formatação!H$5,IF($F98="Repudiation",Formatação!H$4,IF($F98="Spoofing",Formatação!H$2,IF($F98="Tampering",Formatação!H$3, IF($F98="Denial of Service",Formatação!H$6,IF($F98="Elevation of Privilege",Formatação!H$7,IF($F98="Lateral Movement",Formatação!H$8,Errado)))))))</f>
        <v>Integridade</v>
      </c>
      <c r="F98" s="17" t="s">
        <v>25</v>
      </c>
      <c r="G98" s="17" t="str" cm="1">
        <f t="array" ref="G98">IF($F98="Information Disclosure",Formatação!J$5,IF($F98="Repudiation",Formatação!J$4,IF($F98="Spoofing",Formatação!J$2,IF($F98="Tampering",Formatação!J$3, IF($F98="Denial of Service",Formatação!J$6,IF($F98="Elevation of Privilege",Formatação!J$7,IF($F98="Lateral Movement",Formatação!J$8,Errado)))))))</f>
        <v>Danos a imagem</v>
      </c>
      <c r="H98" s="17" t="s">
        <v>259</v>
      </c>
      <c r="I98" s="17" t="s">
        <v>425</v>
      </c>
      <c r="J98" s="17" t="s">
        <v>357</v>
      </c>
      <c r="K98" s="17" t="s">
        <v>847</v>
      </c>
      <c r="L98" s="17" t="s">
        <v>847</v>
      </c>
      <c r="M98" s="17" t="s">
        <v>847</v>
      </c>
      <c r="N98" s="17" t="s">
        <v>1293</v>
      </c>
      <c r="O98" s="17" t="s">
        <v>848</v>
      </c>
      <c r="P98" s="17" t="s">
        <v>848</v>
      </c>
      <c r="Q98" s="17" t="s">
        <v>848</v>
      </c>
      <c r="R98" s="17" t="s">
        <v>849</v>
      </c>
      <c r="S98" s="17" t="s">
        <v>849</v>
      </c>
      <c r="T98" s="17" t="s">
        <v>849</v>
      </c>
      <c r="U98" s="17" t="s">
        <v>849</v>
      </c>
      <c r="V98" s="17" t="s">
        <v>848</v>
      </c>
      <c r="W98" s="17">
        <f t="shared" ref="W98:W129" si="6">SUM(
  IF($O98 = "Impacto direto", 3, IF($O98 = "Impacto indireto", 2, 0)),
  IF($P98 = "Impacto direto", 3, IF($P98 = "Impacto indireto", 2, 0)),
  IF($Q98 = "Impacto direto", 3, IF($Q98 = "Impacto indireto", 2, 0)),
  IF($R98 = "Impacto direto", 3, IF($R98 = "Impacto indireto", 2, 0)),
  IF($S98 = "Impacto direto", 3, IF($S98 = "Impacto indireto", 2, 0)),
  IF($T98 = "Impacto direto", 3, IF($T98 = "Impacto indireto", 2, 0)),
  IF($U98 = "Impacto direto", 3, IF($U98 = "Impacto indireto", 2, 0)),
  IF($V98 = "Impacto direto", 3, IF($V98 = "Impacto indireto", 2, 0))
)</f>
        <v>20</v>
      </c>
      <c r="X98" s="17" t="str">
        <f t="shared" ref="X98:X129" si="7">IF($W98&lt;=5, "Leve", IF($W98&lt;=8, "Baixo", IF($W98&lt;=14, "Moderado", IF($W98&lt;=18, "Alto", IF($W98&lt;=24, "Crítico", "ERRO")))))</f>
        <v>Crítico</v>
      </c>
      <c r="Y98" s="17" t="s">
        <v>851</v>
      </c>
      <c r="Z98" s="17" t="e" vm="1">
        <f>VLOOKUP(Tabela7[[#This Row],[Controle]],[1]!Tabela135[#Data],33,FALSE)</f>
        <v>#REF!</v>
      </c>
      <c r="AA98" s="17" t="e" vm="1">
        <f>VLOOKUP(Tabela7[[#This Row],[Controle]],[1]!Tabela135[#Data],34,FALSE)</f>
        <v>#REF!</v>
      </c>
      <c r="AB98" s="17" t="s">
        <v>854</v>
      </c>
      <c r="AC98" s="17"/>
      <c r="AD98" s="17"/>
      <c r="AE98" s="17"/>
    </row>
    <row r="99" spans="1:31" ht="35.25" customHeight="1">
      <c r="A99" s="21" t="s">
        <v>2190</v>
      </c>
      <c r="B99" s="53" t="s">
        <v>977</v>
      </c>
      <c r="C99" s="17" t="s">
        <v>648</v>
      </c>
      <c r="D99" s="17" t="s">
        <v>218</v>
      </c>
      <c r="E99" s="17" t="str" cm="1">
        <f t="array" ref="E99">IF($F99="Information Disclosure",Formatação!H$5,IF($F99="Repudiation",Formatação!H$4,IF($F99="Spoofing",Formatação!H$2,IF($F99="Tampering",Formatação!H$3, IF($F99="Denial of Service",Formatação!H$6,IF($F99="Elevation of Privilege",Formatação!H$7,IF($F99="Lateral Movement",Formatação!H$8,Errado)))))))</f>
        <v>Não repúdio</v>
      </c>
      <c r="F99" s="17" t="s">
        <v>32</v>
      </c>
      <c r="G99" s="17" t="str" cm="1">
        <f t="array" ref="G99">IF($F99="Information Disclosure",Formatação!J$5,IF($F99="Repudiation",Formatação!J$4,IF($F99="Spoofing",Formatação!J$2,IF($F99="Tampering",Formatação!J$3, IF($F99="Denial of Service",Formatação!J$6,IF($F99="Elevation of Privilege",Formatação!J$7,IF($F99="Lateral Movement",Formatação!J$8,Errado)))))))</f>
        <v>Regulatório/Compliance</v>
      </c>
      <c r="H99" s="17" t="s">
        <v>26</v>
      </c>
      <c r="I99" s="17" t="s">
        <v>425</v>
      </c>
      <c r="J99" s="17" t="s">
        <v>944</v>
      </c>
      <c r="K99" s="17" t="s">
        <v>847</v>
      </c>
      <c r="L99" s="17" t="s">
        <v>847</v>
      </c>
      <c r="M99" s="17" t="s">
        <v>847</v>
      </c>
      <c r="N99" s="17" t="s">
        <v>1293</v>
      </c>
      <c r="O99" s="17" t="s">
        <v>849</v>
      </c>
      <c r="P99" s="17" t="s">
        <v>849</v>
      </c>
      <c r="Q99" s="17" t="s">
        <v>2155</v>
      </c>
      <c r="R99" s="17" t="s">
        <v>849</v>
      </c>
      <c r="S99" s="17" t="s">
        <v>849</v>
      </c>
      <c r="T99" s="17" t="s">
        <v>849</v>
      </c>
      <c r="U99" s="17" t="s">
        <v>849</v>
      </c>
      <c r="V99" s="17" t="s">
        <v>850</v>
      </c>
      <c r="W99" s="17">
        <f t="shared" si="6"/>
        <v>16</v>
      </c>
      <c r="X99" s="17" t="str">
        <f t="shared" si="7"/>
        <v>Alto</v>
      </c>
      <c r="Y99" s="17" t="s">
        <v>1704</v>
      </c>
      <c r="Z99" s="17" t="e" vm="1">
        <f>VLOOKUP(Tabela7[[#This Row],[Controle]],[1]!Tabela135[#Data],33,FALSE)</f>
        <v>#REF!</v>
      </c>
      <c r="AA99" s="17" t="e" vm="1">
        <f>VLOOKUP(Tabela7[[#This Row],[Controle]],[1]!Tabela135[#Data],34,FALSE)</f>
        <v>#REF!</v>
      </c>
      <c r="AB99" s="17" t="s">
        <v>978</v>
      </c>
      <c r="AC99" s="17"/>
      <c r="AD99" s="17"/>
      <c r="AE99" s="17"/>
    </row>
    <row r="100" spans="1:31" ht="35.25" customHeight="1">
      <c r="A100" s="21" t="s">
        <v>2191</v>
      </c>
      <c r="B100" s="53" t="s">
        <v>2192</v>
      </c>
      <c r="C100" s="17" t="s">
        <v>650</v>
      </c>
      <c r="D100" s="17" t="s">
        <v>218</v>
      </c>
      <c r="E100" s="17" t="str" cm="1">
        <f t="array" ref="E100">IF($F100="Information Disclosure",Formatação!H$5,IF($F100="Repudiation",Formatação!H$4,IF($F100="Spoofing",Formatação!H$2,IF($F100="Tampering",Formatação!H$3, IF($F100="Denial of Service",Formatação!H$6,IF($F100="Elevation of Privilege",Formatação!H$7,IF($F100="Lateral Movement",Formatação!H$8,Errado)))))))</f>
        <v>Confidencialidade</v>
      </c>
      <c r="F100" s="17" t="s">
        <v>35</v>
      </c>
      <c r="G100" s="17" t="str" cm="1">
        <f t="array" ref="G100">IF($F100="Information Disclosure",Formatação!J$5,IF($F100="Repudiation",Formatação!J$4,IF($F100="Spoofing",Formatação!J$2,IF($F100="Tampering",Formatação!J$3, IF($F100="Denial of Service",Formatação!J$6,IF($F100="Elevation of Privilege",Formatação!J$7,IF($F100="Lateral Movement",Formatação!J$8,Errado)))))))</f>
        <v>Vazamento de dados</v>
      </c>
      <c r="H100" s="17" t="s">
        <v>23</v>
      </c>
      <c r="I100" s="17" t="s">
        <v>425</v>
      </c>
      <c r="J100" s="17" t="s">
        <v>357</v>
      </c>
      <c r="K100" s="17" t="s">
        <v>847</v>
      </c>
      <c r="L100" s="17" t="s">
        <v>847</v>
      </c>
      <c r="M100" s="17" t="s">
        <v>847</v>
      </c>
      <c r="N100" s="17" t="s">
        <v>1293</v>
      </c>
      <c r="O100" s="17" t="s">
        <v>849</v>
      </c>
      <c r="P100" s="17" t="s">
        <v>849</v>
      </c>
      <c r="Q100" s="17" t="s">
        <v>848</v>
      </c>
      <c r="R100" s="17" t="s">
        <v>848</v>
      </c>
      <c r="S100" s="17" t="s">
        <v>848</v>
      </c>
      <c r="T100" s="17" t="s">
        <v>848</v>
      </c>
      <c r="U100" s="17" t="s">
        <v>848</v>
      </c>
      <c r="V100" s="17" t="s">
        <v>850</v>
      </c>
      <c r="W100" s="17">
        <f t="shared" si="6"/>
        <v>21</v>
      </c>
      <c r="X100" s="17" t="str">
        <f t="shared" si="7"/>
        <v>Crítico</v>
      </c>
      <c r="Y100" s="17" t="s">
        <v>851</v>
      </c>
      <c r="Z100" s="17" t="s">
        <v>2193</v>
      </c>
      <c r="AA100" s="17" t="s">
        <v>2149</v>
      </c>
      <c r="AB100" s="17" t="s">
        <v>952</v>
      </c>
      <c r="AC100" s="17"/>
      <c r="AD100" s="17"/>
      <c r="AE100" s="17"/>
    </row>
    <row r="101" spans="1:31" ht="35.25" customHeight="1">
      <c r="A101" s="21" t="s">
        <v>2194</v>
      </c>
      <c r="B101" s="53" t="s">
        <v>984</v>
      </c>
      <c r="C101" s="17" t="s">
        <v>654</v>
      </c>
      <c r="D101" s="17" t="s">
        <v>218</v>
      </c>
      <c r="E101" s="17" t="str" cm="1">
        <f t="array" ref="E101">IF($F101="Information Disclosure",Formatação!H$5,IF($F101="Repudiation",Formatação!H$4,IF($F101="Spoofing",Formatação!H$2,IF($F101="Tampering",Formatação!H$3, IF($F101="Denial of Service",Formatação!H$6,IF($F101="Elevation of Privilege",Formatação!H$7,IF($F101="Lateral Movement",Formatação!H$8,Errado)))))))</f>
        <v>Confidencialidade</v>
      </c>
      <c r="F101" s="17" t="s">
        <v>35</v>
      </c>
      <c r="G101" s="17" t="str" cm="1">
        <f t="array" ref="G101">IF($F101="Information Disclosure",Formatação!J$5,IF($F101="Repudiation",Formatação!J$4,IF($F101="Spoofing",Formatação!J$2,IF($F101="Tampering",Formatação!J$3, IF($F101="Denial of Service",Formatação!J$6,IF($F101="Elevation of Privilege",Formatação!J$7,IF($F101="Lateral Movement",Formatação!J$8,Errado)))))))</f>
        <v>Vazamento de dados</v>
      </c>
      <c r="H101" s="17" t="s">
        <v>283</v>
      </c>
      <c r="I101" s="17" t="s">
        <v>425</v>
      </c>
      <c r="J101" s="17" t="s">
        <v>357</v>
      </c>
      <c r="K101" s="17" t="s">
        <v>847</v>
      </c>
      <c r="L101" s="17" t="s">
        <v>847</v>
      </c>
      <c r="M101" s="17" t="s">
        <v>847</v>
      </c>
      <c r="N101" s="17" t="s">
        <v>1293</v>
      </c>
      <c r="O101" s="17" t="s">
        <v>849</v>
      </c>
      <c r="P101" s="17" t="s">
        <v>849</v>
      </c>
      <c r="Q101" s="17" t="s">
        <v>848</v>
      </c>
      <c r="R101" s="17" t="s">
        <v>849</v>
      </c>
      <c r="S101" s="17" t="s">
        <v>849</v>
      </c>
      <c r="T101" s="17" t="s">
        <v>849</v>
      </c>
      <c r="U101" s="17" t="s">
        <v>849</v>
      </c>
      <c r="V101" s="17" t="s">
        <v>848</v>
      </c>
      <c r="W101" s="17">
        <f t="shared" si="6"/>
        <v>18</v>
      </c>
      <c r="X101" s="17" t="str">
        <f t="shared" si="7"/>
        <v>Alto</v>
      </c>
      <c r="Y101" s="17" t="s">
        <v>851</v>
      </c>
      <c r="Z101" s="17" t="s">
        <v>2193</v>
      </c>
      <c r="AA101" s="17" t="s">
        <v>2195</v>
      </c>
      <c r="AB101" s="17" t="s">
        <v>854</v>
      </c>
      <c r="AC101" s="17"/>
      <c r="AD101" s="17"/>
      <c r="AE101" s="17"/>
    </row>
    <row r="102" spans="1:31" ht="35.25" customHeight="1">
      <c r="A102" s="21" t="s">
        <v>2196</v>
      </c>
      <c r="B102" s="53" t="s">
        <v>986</v>
      </c>
      <c r="C102" s="17" t="s">
        <v>656</v>
      </c>
      <c r="D102" s="17" t="s">
        <v>218</v>
      </c>
      <c r="E102" s="17" t="str" cm="1">
        <f t="array" ref="E102">IF($F102="Information Disclosure",Formatação!H$5,IF($F102="Repudiation",Formatação!H$4,IF($F102="Spoofing",Formatação!H$2,IF($F102="Tampering",Formatação!H$3, IF($F102="Denial of Service",Formatação!H$6,IF($F102="Elevation of Privilege",Formatação!H$7,IF($F102="Lateral Movement",Formatação!H$8,Errado)))))))</f>
        <v>Não repúdio</v>
      </c>
      <c r="F102" s="17" t="s">
        <v>32</v>
      </c>
      <c r="G102" s="17" t="str" cm="1">
        <f t="array" ref="G102">IF($F102="Information Disclosure",Formatação!J$5,IF($F102="Repudiation",Formatação!J$4,IF($F102="Spoofing",Formatação!J$2,IF($F102="Tampering",Formatação!J$3, IF($F102="Denial of Service",Formatação!J$6,IF($F102="Elevation of Privilege",Formatação!J$7,IF($F102="Lateral Movement",Formatação!J$8,Errado)))))))</f>
        <v>Regulatório/Compliance</v>
      </c>
      <c r="H102" s="17" t="s">
        <v>33</v>
      </c>
      <c r="I102" s="17" t="s">
        <v>425</v>
      </c>
      <c r="J102" s="17" t="s">
        <v>341</v>
      </c>
      <c r="K102" s="17" t="s">
        <v>847</v>
      </c>
      <c r="L102" s="17" t="s">
        <v>847</v>
      </c>
      <c r="M102" s="17" t="s">
        <v>847</v>
      </c>
      <c r="N102" s="17" t="s">
        <v>847</v>
      </c>
      <c r="O102" s="17" t="s">
        <v>849</v>
      </c>
      <c r="P102" s="17" t="s">
        <v>849</v>
      </c>
      <c r="Q102" s="17" t="s">
        <v>848</v>
      </c>
      <c r="R102" s="17" t="s">
        <v>849</v>
      </c>
      <c r="S102" s="17" t="s">
        <v>849</v>
      </c>
      <c r="T102" s="17" t="s">
        <v>849</v>
      </c>
      <c r="U102" s="17" t="s">
        <v>849</v>
      </c>
      <c r="V102" s="17" t="s">
        <v>848</v>
      </c>
      <c r="W102" s="17">
        <f t="shared" si="6"/>
        <v>18</v>
      </c>
      <c r="X102" s="17" t="str">
        <f t="shared" si="7"/>
        <v>Alto</v>
      </c>
      <c r="Y102" s="17" t="s">
        <v>1704</v>
      </c>
      <c r="Z102" s="17" t="e" vm="1">
        <f>VLOOKUP(Tabela7[[#This Row],[Controle]],[1]!Tabela135[#Data],33,FALSE)</f>
        <v>#REF!</v>
      </c>
      <c r="AA102" s="17" t="e" vm="1">
        <f>VLOOKUP(Tabela7[[#This Row],[Controle]],[1]!Tabela135[#Data],34,FALSE)</f>
        <v>#REF!</v>
      </c>
      <c r="AB102" s="17" t="s">
        <v>987</v>
      </c>
      <c r="AC102" s="17"/>
      <c r="AD102" s="17"/>
      <c r="AE102" s="17"/>
    </row>
    <row r="103" spans="1:31" ht="35.25" customHeight="1">
      <c r="A103" s="21" t="s">
        <v>2197</v>
      </c>
      <c r="B103" s="53" t="s">
        <v>657</v>
      </c>
      <c r="C103" s="17" t="s">
        <v>658</v>
      </c>
      <c r="D103" s="17" t="s">
        <v>218</v>
      </c>
      <c r="E103" s="17" t="str" cm="1">
        <f t="array" ref="E103">IF($F103="Information Disclosure",Formatação!H$5,IF($F103="Repudiation",Formatação!H$4,IF($F103="Spoofing",Formatação!H$2,IF($F103="Tampering",Formatação!H$3, IF($F103="Denial of Service",Formatação!H$6,IF($F103="Elevation of Privilege",Formatação!H$7,IF($F103="Lateral Movement",Formatação!H$8,Errado)))))))</f>
        <v>Confidencialidade</v>
      </c>
      <c r="F103" s="17" t="s">
        <v>35</v>
      </c>
      <c r="G103" s="17" t="str" cm="1">
        <f t="array" ref="G103">IF($F103="Information Disclosure",Formatação!J$5,IF($F103="Repudiation",Formatação!J$4,IF($F103="Spoofing",Formatação!J$2,IF($F103="Tampering",Formatação!J$3, IF($F103="Denial of Service",Formatação!J$6,IF($F103="Elevation of Privilege",Formatação!J$7,IF($F103="Lateral Movement",Formatação!J$8,Errado)))))))</f>
        <v>Vazamento de dados</v>
      </c>
      <c r="H103" s="17" t="s">
        <v>14</v>
      </c>
      <c r="I103" s="17" t="s">
        <v>425</v>
      </c>
      <c r="J103" s="17" t="s">
        <v>357</v>
      </c>
      <c r="K103" s="17" t="s">
        <v>847</v>
      </c>
      <c r="L103" s="17" t="s">
        <v>847</v>
      </c>
      <c r="M103" s="17" t="s">
        <v>847</v>
      </c>
      <c r="N103" s="17" t="s">
        <v>1293</v>
      </c>
      <c r="O103" s="17" t="s">
        <v>848</v>
      </c>
      <c r="P103" s="17" t="s">
        <v>848</v>
      </c>
      <c r="Q103" s="17" t="s">
        <v>848</v>
      </c>
      <c r="R103" s="17" t="s">
        <v>849</v>
      </c>
      <c r="S103" s="17" t="s">
        <v>849</v>
      </c>
      <c r="T103" s="17" t="s">
        <v>849</v>
      </c>
      <c r="U103" s="17" t="s">
        <v>849</v>
      </c>
      <c r="V103" s="17" t="s">
        <v>850</v>
      </c>
      <c r="W103" s="17">
        <f t="shared" si="6"/>
        <v>19</v>
      </c>
      <c r="X103" s="17" t="str">
        <f t="shared" si="7"/>
        <v>Crítico</v>
      </c>
      <c r="Y103" s="17" t="s">
        <v>851</v>
      </c>
      <c r="Z103" s="17" t="e" vm="1">
        <f>VLOOKUP(Tabela7[[#This Row],[Controle]],[1]!Tabela135[#Data],33,FALSE)</f>
        <v>#REF!</v>
      </c>
      <c r="AA103" s="17" t="e" vm="1">
        <f>VLOOKUP(Tabela7[[#This Row],[Controle]],[1]!Tabela135[#Data],34,FALSE)</f>
        <v>#REF!</v>
      </c>
      <c r="AB103" s="17" t="s">
        <v>856</v>
      </c>
      <c r="AC103" s="17"/>
      <c r="AD103" s="17"/>
      <c r="AE103" s="17"/>
    </row>
    <row r="104" spans="1:31" ht="35.25" customHeight="1">
      <c r="A104" s="21" t="s">
        <v>2198</v>
      </c>
      <c r="B104" s="53" t="s">
        <v>758</v>
      </c>
      <c r="C104" s="17" t="s">
        <v>759</v>
      </c>
      <c r="D104" s="17" t="s">
        <v>1309</v>
      </c>
      <c r="E104" s="17" t="str" cm="1">
        <f t="array" ref="E104">IF($F104="Information Disclosure",Formatação!H$5,IF($F104="Repudiation",Formatação!H$4,IF($F104="Spoofing",Formatação!H$2,IF($F104="Tampering",Formatação!H$3, IF($F104="Denial of Service",Formatação!H$6,IF($F104="Elevation of Privilege",Formatação!H$7,IF($F104="Lateral Movement",Formatação!H$8,Errado)))))))</f>
        <v>Confidencialidade</v>
      </c>
      <c r="F104" s="17" t="s">
        <v>67</v>
      </c>
      <c r="G104" s="17" t="str" cm="1">
        <f t="array" ref="G104">IF($F104="Information Disclosure",Formatação!J$5,IF($F104="Repudiation",Formatação!J$4,IF($F104="Spoofing",Formatação!J$2,IF($F104="Tampering",Formatação!J$3, IF($F104="Denial of Service",Formatação!J$6,IF($F104="Elevation of Privilege",Formatação!J$7,IF($F104="Lateral Movement",Formatação!J$8,Errado)))))))</f>
        <v>Vazamento de dados</v>
      </c>
      <c r="H104" s="17" t="s">
        <v>421</v>
      </c>
      <c r="I104" s="17" t="s">
        <v>409</v>
      </c>
      <c r="J104" s="17" t="s">
        <v>357</v>
      </c>
      <c r="K104" s="17" t="s">
        <v>1293</v>
      </c>
      <c r="L104" s="17" t="s">
        <v>1293</v>
      </c>
      <c r="M104" s="17" t="s">
        <v>1293</v>
      </c>
      <c r="N104" s="17" t="s">
        <v>847</v>
      </c>
      <c r="O104" s="17" t="s">
        <v>849</v>
      </c>
      <c r="P104" s="17" t="s">
        <v>848</v>
      </c>
      <c r="Q104" s="17" t="s">
        <v>848</v>
      </c>
      <c r="R104" s="17" t="s">
        <v>849</v>
      </c>
      <c r="S104" s="17" t="s">
        <v>849</v>
      </c>
      <c r="T104" s="17" t="s">
        <v>849</v>
      </c>
      <c r="U104" s="17" t="s">
        <v>849</v>
      </c>
      <c r="V104" s="17" t="s">
        <v>1614</v>
      </c>
      <c r="W104" s="17">
        <f t="shared" si="6"/>
        <v>16</v>
      </c>
      <c r="X104" s="17" t="str">
        <f t="shared" si="7"/>
        <v>Alto</v>
      </c>
      <c r="Y104" s="17" t="s">
        <v>851</v>
      </c>
      <c r="Z104" s="17" t="e" vm="1">
        <f>VLOOKUP(Tabela7[[#This Row],[Controle]],[1]!Tabela135[#Data],33,FALSE)</f>
        <v>#REF!</v>
      </c>
      <c r="AA104" s="17" t="e" vm="1">
        <f>VLOOKUP(Tabela7[[#This Row],[Controle]],[1]!Tabela135[#Data],34,FALSE)</f>
        <v>#REF!</v>
      </c>
      <c r="AB104" s="17" t="s">
        <v>952</v>
      </c>
      <c r="AC104" s="17"/>
      <c r="AD104" s="17"/>
      <c r="AE104" s="17"/>
    </row>
    <row r="105" spans="1:31" ht="35.25" customHeight="1">
      <c r="A105" s="21" t="s">
        <v>2199</v>
      </c>
      <c r="B105" s="53" t="s">
        <v>1147</v>
      </c>
      <c r="C105" s="17" t="s">
        <v>757</v>
      </c>
      <c r="D105" s="17" t="s">
        <v>1309</v>
      </c>
      <c r="E105" s="17" t="str" cm="1">
        <f t="array" ref="E105">IF($F105="Information Disclosure",Formatação!H$5,IF($F105="Repudiation",Formatação!H$4,IF($F105="Spoofing",Formatação!H$2,IF($F105="Tampering",Formatação!H$3, IF($F105="Denial of Service",Formatação!H$6,IF($F105="Elevation of Privilege",Formatação!H$7,IF($F105="Lateral Movement",Formatação!H$8,Errado)))))))</f>
        <v>Confidencialidade</v>
      </c>
      <c r="F105" s="17" t="s">
        <v>67</v>
      </c>
      <c r="G105" s="17" t="str" cm="1">
        <f t="array" ref="G105">IF($F105="Information Disclosure",Formatação!J$5,IF($F105="Repudiation",Formatação!J$4,IF($F105="Spoofing",Formatação!J$2,IF($F105="Tampering",Formatação!J$3, IF($F105="Denial of Service",Formatação!J$6,IF($F105="Elevation of Privilege",Formatação!J$7,IF($F105="Lateral Movement",Formatação!J$8,Errado)))))))</f>
        <v>Vazamento de dados</v>
      </c>
      <c r="H105" s="17" t="s">
        <v>421</v>
      </c>
      <c r="I105" s="17" t="s">
        <v>409</v>
      </c>
      <c r="J105" s="17" t="s">
        <v>357</v>
      </c>
      <c r="K105" s="17" t="s">
        <v>1293</v>
      </c>
      <c r="L105" s="17" t="s">
        <v>847</v>
      </c>
      <c r="M105" s="17" t="s">
        <v>847</v>
      </c>
      <c r="N105" s="17" t="s">
        <v>1293</v>
      </c>
      <c r="O105" s="17" t="s">
        <v>849</v>
      </c>
      <c r="P105" s="17" t="s">
        <v>849</v>
      </c>
      <c r="Q105" s="17" t="s">
        <v>848</v>
      </c>
      <c r="R105" s="17" t="s">
        <v>849</v>
      </c>
      <c r="S105" s="17" t="s">
        <v>849</v>
      </c>
      <c r="T105" s="17" t="s">
        <v>849</v>
      </c>
      <c r="U105" s="17" t="s">
        <v>849</v>
      </c>
      <c r="V105" s="17" t="s">
        <v>849</v>
      </c>
      <c r="W105" s="17">
        <f t="shared" si="6"/>
        <v>17</v>
      </c>
      <c r="X105" s="17" t="str">
        <f t="shared" si="7"/>
        <v>Alto</v>
      </c>
      <c r="Y105" s="17" t="s">
        <v>851</v>
      </c>
      <c r="Z105" s="17" t="e" vm="1">
        <f>VLOOKUP(Tabela7[[#This Row],[Controle]],[1]!Tabela135[#Data],33,FALSE)</f>
        <v>#REF!</v>
      </c>
      <c r="AA105" s="17" t="e" vm="1">
        <f>VLOOKUP(Tabela7[[#This Row],[Controle]],[1]!Tabela135[#Data],34,FALSE)</f>
        <v>#REF!</v>
      </c>
      <c r="AB105" s="17" t="s">
        <v>952</v>
      </c>
      <c r="AC105" s="17"/>
      <c r="AD105" s="17"/>
      <c r="AE105" s="17"/>
    </row>
    <row r="106" spans="1:31" ht="35.25" customHeight="1">
      <c r="A106" s="21" t="s">
        <v>2200</v>
      </c>
      <c r="B106" s="53" t="s">
        <v>1151</v>
      </c>
      <c r="C106" s="17" t="s">
        <v>761</v>
      </c>
      <c r="D106" s="17" t="s">
        <v>1309</v>
      </c>
      <c r="E106" s="17" t="str" cm="1">
        <f t="array" ref="E106">IF($F106="Information Disclosure",Formatação!H$5,IF($F106="Repudiation",Formatação!H$4,IF($F106="Spoofing",Formatação!H$2,IF($F106="Tampering",Formatação!H$3, IF($F106="Denial of Service",Formatação!H$6,IF($F106="Elevation of Privilege",Formatação!H$7,IF($F106="Lateral Movement",Formatação!H$8,Errado)))))))</f>
        <v>Confidencialidade</v>
      </c>
      <c r="F106" s="17" t="s">
        <v>67</v>
      </c>
      <c r="G106" s="17" t="str" cm="1">
        <f t="array" ref="G106">IF($F106="Information Disclosure",Formatação!J$5,IF($F106="Repudiation",Formatação!J$4,IF($F106="Spoofing",Formatação!J$2,IF($F106="Tampering",Formatação!J$3, IF($F106="Denial of Service",Formatação!J$6,IF($F106="Elevation of Privilege",Formatação!J$7,IF($F106="Lateral Movement",Formatação!J$8,Errado)))))))</f>
        <v>Vazamento de dados</v>
      </c>
      <c r="H106" s="17" t="s">
        <v>421</v>
      </c>
      <c r="I106" s="17" t="s">
        <v>409</v>
      </c>
      <c r="J106" s="17" t="s">
        <v>357</v>
      </c>
      <c r="K106" s="17" t="s">
        <v>1293</v>
      </c>
      <c r="L106" s="17" t="s">
        <v>847</v>
      </c>
      <c r="M106" s="17" t="s">
        <v>847</v>
      </c>
      <c r="N106" s="17" t="s">
        <v>847</v>
      </c>
      <c r="O106" s="17" t="s">
        <v>849</v>
      </c>
      <c r="P106" s="17" t="s">
        <v>848</v>
      </c>
      <c r="Q106" s="17" t="s">
        <v>848</v>
      </c>
      <c r="R106" s="17" t="s">
        <v>849</v>
      </c>
      <c r="S106" s="17" t="s">
        <v>849</v>
      </c>
      <c r="T106" s="17" t="s">
        <v>849</v>
      </c>
      <c r="U106" s="17" t="s">
        <v>849</v>
      </c>
      <c r="V106" s="17" t="s">
        <v>850</v>
      </c>
      <c r="W106" s="17">
        <f t="shared" si="6"/>
        <v>18</v>
      </c>
      <c r="X106" s="17" t="str">
        <f t="shared" si="7"/>
        <v>Alto</v>
      </c>
      <c r="Y106" s="17" t="s">
        <v>851</v>
      </c>
      <c r="Z106" s="17" t="s">
        <v>2201</v>
      </c>
      <c r="AA106" s="17" t="s">
        <v>2202</v>
      </c>
      <c r="AB106" s="17" t="s">
        <v>952</v>
      </c>
      <c r="AC106" s="17"/>
      <c r="AD106" s="17"/>
      <c r="AE106" s="17"/>
    </row>
    <row r="107" spans="1:31" ht="35.25" customHeight="1">
      <c r="A107" s="21" t="s">
        <v>2203</v>
      </c>
      <c r="B107" s="53" t="s">
        <v>1153</v>
      </c>
      <c r="C107" s="17" t="s">
        <v>763</v>
      </c>
      <c r="D107" s="17" t="s">
        <v>1309</v>
      </c>
      <c r="E107" s="17" t="str" cm="1">
        <f t="array" ref="E107">IF($F107="Information Disclosure",Formatação!H$5,IF($F107="Repudiation",Formatação!H$4,IF($F107="Spoofing",Formatação!H$2,IF($F107="Tampering",Formatação!H$3, IF($F107="Denial of Service",Formatação!H$6,IF($F107="Elevation of Privilege",Formatação!H$7,IF($F107="Lateral Movement",Formatação!H$8,Errado)))))))</f>
        <v>Confidencialidade</v>
      </c>
      <c r="F107" s="17" t="s">
        <v>67</v>
      </c>
      <c r="G107" s="17" t="str" cm="1">
        <f t="array" ref="G107">IF($F107="Information Disclosure",Formatação!J$5,IF($F107="Repudiation",Formatação!J$4,IF($F107="Spoofing",Formatação!J$2,IF($F107="Tampering",Formatação!J$3, IF($F107="Denial of Service",Formatação!J$6,IF($F107="Elevation of Privilege",Formatação!J$7,IF($F107="Lateral Movement",Formatação!J$8,Errado)))))))</f>
        <v>Vazamento de dados</v>
      </c>
      <c r="H107" s="17" t="s">
        <v>421</v>
      </c>
      <c r="I107" s="17" t="s">
        <v>409</v>
      </c>
      <c r="J107" s="17" t="s">
        <v>357</v>
      </c>
      <c r="K107" s="17" t="s">
        <v>1293</v>
      </c>
      <c r="L107" s="17" t="s">
        <v>847</v>
      </c>
      <c r="M107" s="17" t="s">
        <v>847</v>
      </c>
      <c r="N107" s="17" t="s">
        <v>847</v>
      </c>
      <c r="O107" s="17" t="s">
        <v>849</v>
      </c>
      <c r="P107" s="17" t="s">
        <v>849</v>
      </c>
      <c r="Q107" s="17" t="s">
        <v>848</v>
      </c>
      <c r="R107" s="17" t="s">
        <v>849</v>
      </c>
      <c r="S107" s="17" t="s">
        <v>849</v>
      </c>
      <c r="T107" s="17" t="s">
        <v>849</v>
      </c>
      <c r="U107" s="17" t="s">
        <v>849</v>
      </c>
      <c r="V107" s="17" t="s">
        <v>850</v>
      </c>
      <c r="W107" s="17">
        <f t="shared" si="6"/>
        <v>17</v>
      </c>
      <c r="X107" s="17" t="str">
        <f t="shared" si="7"/>
        <v>Alto</v>
      </c>
      <c r="Y107" s="17" t="s">
        <v>851</v>
      </c>
      <c r="Z107" s="17" t="e" vm="1">
        <f>VLOOKUP(Tabela7[[#This Row],[Controle]],[1]!Tabela135[#Data],33,FALSE)</f>
        <v>#REF!</v>
      </c>
      <c r="AA107" s="17" t="e" vm="1">
        <f>VLOOKUP(Tabela7[[#This Row],[Controle]],[1]!Tabela135[#Data],34,FALSE)</f>
        <v>#REF!</v>
      </c>
      <c r="AB107" s="17" t="s">
        <v>952</v>
      </c>
      <c r="AC107" s="17"/>
      <c r="AD107" s="17"/>
      <c r="AE107" s="17"/>
    </row>
    <row r="108" spans="1:31" ht="35.25" customHeight="1">
      <c r="A108" s="21" t="s">
        <v>2204</v>
      </c>
      <c r="B108" s="53" t="s">
        <v>2205</v>
      </c>
      <c r="C108" s="17" t="s">
        <v>2206</v>
      </c>
      <c r="D108" s="17" t="s">
        <v>1309</v>
      </c>
      <c r="E108" s="17" t="str" cm="1">
        <f t="array" ref="E108">IF($F108="Information Disclosure",Formatação!H$5,IF($F108="Repudiation",Formatação!H$4,IF($F108="Spoofing",Formatação!H$2,IF($F108="Tampering",Formatação!H$3, IF($F108="Denial of Service",Formatação!H$6,IF($F108="Elevation of Privilege",Formatação!H$7,IF($F108="Lateral Movement",Formatação!H$8,Errado)))))))</f>
        <v>Integridade</v>
      </c>
      <c r="F108" s="17" t="s">
        <v>25</v>
      </c>
      <c r="G108" s="17" t="str" cm="1">
        <f t="array" ref="G108">IF($F108="Information Disclosure",Formatação!J$5,IF($F108="Repudiation",Formatação!J$4,IF($F108="Spoofing",Formatação!J$2,IF($F108="Tampering",Formatação!J$3, IF($F108="Denial of Service",Formatação!J$6,IF($F108="Elevation of Privilege",Formatação!J$7,IF($F108="Lateral Movement",Formatação!J$8,Errado)))))))</f>
        <v>Danos a imagem</v>
      </c>
      <c r="H108" s="17" t="s">
        <v>23</v>
      </c>
      <c r="I108" s="17" t="s">
        <v>943</v>
      </c>
      <c r="J108" s="17" t="s">
        <v>357</v>
      </c>
      <c r="K108" s="17" t="s">
        <v>847</v>
      </c>
      <c r="L108" s="17" t="s">
        <v>847</v>
      </c>
      <c r="M108" s="17" t="s">
        <v>847</v>
      </c>
      <c r="N108" s="17" t="s">
        <v>847</v>
      </c>
      <c r="O108" s="17" t="s">
        <v>849</v>
      </c>
      <c r="P108" s="17" t="s">
        <v>848</v>
      </c>
      <c r="Q108" s="17" t="s">
        <v>848</v>
      </c>
      <c r="R108" s="17" t="s">
        <v>848</v>
      </c>
      <c r="S108" s="17" t="s">
        <v>848</v>
      </c>
      <c r="T108" s="17" t="s">
        <v>848</v>
      </c>
      <c r="U108" s="17" t="s">
        <v>848</v>
      </c>
      <c r="V108" s="17" t="s">
        <v>849</v>
      </c>
      <c r="W108" s="17">
        <f t="shared" si="6"/>
        <v>22</v>
      </c>
      <c r="X108" s="17" t="str">
        <f t="shared" si="7"/>
        <v>Crítico</v>
      </c>
      <c r="Y108" s="17" t="s">
        <v>851</v>
      </c>
      <c r="Z108" s="17" t="s">
        <v>2207</v>
      </c>
      <c r="AA108" s="17" t="s">
        <v>2208</v>
      </c>
      <c r="AB108" s="17"/>
      <c r="AC108" s="17"/>
      <c r="AD108" s="17"/>
      <c r="AE108" s="17"/>
    </row>
    <row r="109" spans="1:31" ht="35.25" customHeight="1">
      <c r="A109" s="21" t="s">
        <v>2209</v>
      </c>
      <c r="B109" s="53" t="s">
        <v>2210</v>
      </c>
      <c r="C109" s="17" t="s">
        <v>2211</v>
      </c>
      <c r="D109" s="17" t="s">
        <v>1309</v>
      </c>
      <c r="E109" s="17" t="str" cm="1">
        <f t="array" ref="E109">IF($F109="Information Disclosure",Formatação!H$5,IF($F109="Repudiation",Formatação!H$4,IF($F109="Spoofing",Formatação!H$2,IF($F109="Tampering",Formatação!H$3, IF($F109="Denial of Service",Formatação!H$6,IF($F109="Elevation of Privilege",Formatação!H$7,IF($F109="Lateral Movement",Formatação!H$8,Errado)))))))</f>
        <v>Confidencialidade</v>
      </c>
      <c r="F109" s="17" t="s">
        <v>35</v>
      </c>
      <c r="G109" s="17" t="str" cm="1">
        <f t="array" ref="G109">IF($F109="Information Disclosure",Formatação!J$5,IF($F109="Repudiation",Formatação!J$4,IF($F109="Spoofing",Formatação!J$2,IF($F109="Tampering",Formatação!J$3, IF($F109="Denial of Service",Formatação!J$6,IF($F109="Elevation of Privilege",Formatação!J$7,IF($F109="Lateral Movement",Formatação!J$8,Errado)))))))</f>
        <v>Vazamento de dados</v>
      </c>
      <c r="H109" s="17" t="s">
        <v>23</v>
      </c>
      <c r="I109" s="17" t="s">
        <v>964</v>
      </c>
      <c r="J109" s="17" t="s">
        <v>357</v>
      </c>
      <c r="K109" s="17" t="s">
        <v>847</v>
      </c>
      <c r="L109" s="17" t="s">
        <v>847</v>
      </c>
      <c r="M109" s="17" t="s">
        <v>847</v>
      </c>
      <c r="N109" s="17" t="s">
        <v>847</v>
      </c>
      <c r="O109" s="17" t="s">
        <v>849</v>
      </c>
      <c r="P109" s="17" t="s">
        <v>848</v>
      </c>
      <c r="Q109" s="17" t="s">
        <v>848</v>
      </c>
      <c r="R109" s="17" t="s">
        <v>848</v>
      </c>
      <c r="S109" s="17" t="s">
        <v>848</v>
      </c>
      <c r="T109" s="17" t="s">
        <v>848</v>
      </c>
      <c r="U109" s="17" t="s">
        <v>848</v>
      </c>
      <c r="V109" s="17" t="s">
        <v>849</v>
      </c>
      <c r="W109" s="17">
        <f t="shared" si="6"/>
        <v>22</v>
      </c>
      <c r="X109" s="17" t="str">
        <f t="shared" si="7"/>
        <v>Crítico</v>
      </c>
      <c r="Y109" s="17" t="s">
        <v>851</v>
      </c>
      <c r="Z109" s="17" t="s">
        <v>2207</v>
      </c>
      <c r="AA109" s="17" t="s">
        <v>2212</v>
      </c>
      <c r="AB109" s="17"/>
      <c r="AC109" s="17"/>
      <c r="AD109" s="17"/>
      <c r="AE109" s="17"/>
    </row>
    <row r="110" spans="1:31" ht="35.25" customHeight="1">
      <c r="A110" s="21" t="s">
        <v>2213</v>
      </c>
      <c r="B110" s="53" t="s">
        <v>2214</v>
      </c>
      <c r="C110" s="17" t="s">
        <v>2215</v>
      </c>
      <c r="D110" s="17" t="s">
        <v>1308</v>
      </c>
      <c r="E110" s="17" t="str" cm="1">
        <f t="array" ref="E110">IF($F110="Information Disclosure",Formatação!H$5,IF($F110="Repudiation",Formatação!H$4,IF($F110="Spoofing",Formatação!H$2,IF($F110="Tampering",Formatação!H$3, IF($F110="Denial of Service",Formatação!H$6,IF($F110="Elevation of Privilege",Formatação!H$7,IF($F110="Lateral Movement",Formatação!H$8,Errado)))))))</f>
        <v>Não repúdio</v>
      </c>
      <c r="F110" s="17" t="s">
        <v>32</v>
      </c>
      <c r="G110" s="17" t="str" cm="1">
        <f t="array" ref="G110">IF($F110="Information Disclosure",Formatação!J$5,IF($F110="Repudiation",Formatação!J$4,IF($F110="Spoofing",Formatação!J$2,IF($F110="Tampering",Formatação!J$3, IF($F110="Denial of Service",Formatação!J$6,IF($F110="Elevation of Privilege",Formatação!J$7,IF($F110="Lateral Movement",Formatação!J$8,Errado)))))))</f>
        <v>Regulatório/Compliance</v>
      </c>
      <c r="H110" s="17" t="s">
        <v>23</v>
      </c>
      <c r="I110" s="17" t="s">
        <v>964</v>
      </c>
      <c r="J110" s="17" t="s">
        <v>944</v>
      </c>
      <c r="K110" s="17" t="s">
        <v>847</v>
      </c>
      <c r="L110" s="17" t="s">
        <v>847</v>
      </c>
      <c r="M110" s="17" t="s">
        <v>847</v>
      </c>
      <c r="N110" s="17" t="s">
        <v>847</v>
      </c>
      <c r="O110" s="17" t="s">
        <v>849</v>
      </c>
      <c r="P110" s="17" t="s">
        <v>849</v>
      </c>
      <c r="Q110" s="17" t="s">
        <v>849</v>
      </c>
      <c r="R110" s="17" t="s">
        <v>848</v>
      </c>
      <c r="S110" s="17" t="s">
        <v>849</v>
      </c>
      <c r="T110" s="17" t="s">
        <v>849</v>
      </c>
      <c r="U110" s="17" t="s">
        <v>848</v>
      </c>
      <c r="V110" s="17" t="s">
        <v>1614</v>
      </c>
      <c r="W110" s="17">
        <f t="shared" si="6"/>
        <v>16</v>
      </c>
      <c r="X110" s="17" t="str">
        <f t="shared" si="7"/>
        <v>Alto</v>
      </c>
      <c r="Y110" s="17" t="s">
        <v>851</v>
      </c>
      <c r="Z110" s="17" t="s">
        <v>2216</v>
      </c>
      <c r="AA110" s="17" t="s">
        <v>2217</v>
      </c>
      <c r="AB110" s="17"/>
      <c r="AC110" s="17"/>
      <c r="AD110" s="17"/>
      <c r="AE110" s="17"/>
    </row>
    <row r="111" spans="1:31" ht="35.25" customHeight="1">
      <c r="A111" s="21" t="s">
        <v>2218</v>
      </c>
      <c r="B111" s="53" t="s">
        <v>2219</v>
      </c>
      <c r="C111" s="17" t="s">
        <v>2220</v>
      </c>
      <c r="D111" s="17" t="s">
        <v>1308</v>
      </c>
      <c r="E111" s="17" t="str" cm="1">
        <f t="array" ref="E111">IF($F111="Information Disclosure",Formatação!H$5,IF($F111="Repudiation",Formatação!H$4,IF($F111="Spoofing",Formatação!H$2,IF($F111="Tampering",Formatação!H$3, IF($F111="Denial of Service",Formatação!H$6,IF($F111="Elevation of Privilege",Formatação!H$7,IF($F111="Lateral Movement",Formatação!H$8,Errado)))))))</f>
        <v>Confidencialidade</v>
      </c>
      <c r="F111" s="17" t="s">
        <v>35</v>
      </c>
      <c r="G111" s="17" t="str" cm="1">
        <f t="array" ref="G111">IF($F111="Information Disclosure",Formatação!J$5,IF($F111="Repudiation",Formatação!J$4,IF($F111="Spoofing",Formatação!J$2,IF($F111="Tampering",Formatação!J$3, IF($F111="Denial of Service",Formatação!J$6,IF($F111="Elevation of Privilege",Formatação!J$7,IF($F111="Lateral Movement",Formatação!J$8,Errado)))))))</f>
        <v>Vazamento de dados</v>
      </c>
      <c r="H111" s="17" t="s">
        <v>29</v>
      </c>
      <c r="I111" s="17" t="s">
        <v>964</v>
      </c>
      <c r="J111" s="17" t="s">
        <v>944</v>
      </c>
      <c r="K111" s="17" t="s">
        <v>847</v>
      </c>
      <c r="L111" s="17" t="s">
        <v>847</v>
      </c>
      <c r="M111" s="17" t="s">
        <v>847</v>
      </c>
      <c r="N111" s="17" t="s">
        <v>847</v>
      </c>
      <c r="O111" s="17" t="s">
        <v>1614</v>
      </c>
      <c r="P111" s="17" t="s">
        <v>848</v>
      </c>
      <c r="Q111" s="17" t="s">
        <v>849</v>
      </c>
      <c r="R111" s="17" t="s">
        <v>848</v>
      </c>
      <c r="S111" s="17" t="s">
        <v>849</v>
      </c>
      <c r="T111" s="17" t="s">
        <v>848</v>
      </c>
      <c r="U111" s="17" t="s">
        <v>848</v>
      </c>
      <c r="V111" s="17" t="s">
        <v>1614</v>
      </c>
      <c r="W111" s="17">
        <f t="shared" si="6"/>
        <v>16</v>
      </c>
      <c r="X111" s="17" t="str">
        <f t="shared" si="7"/>
        <v>Alto</v>
      </c>
      <c r="Y111" s="17" t="s">
        <v>851</v>
      </c>
      <c r="Z111" s="17" t="e" vm="1">
        <f>VLOOKUP(Tabela7[[#This Row],[Controle]],[1]!Tabela135[#Data],33,FALSE)</f>
        <v>#REF!</v>
      </c>
      <c r="AA111" s="17" t="e" vm="1">
        <f>VLOOKUP(Tabela7[[#This Row],[Controle]],[1]!Tabela135[#Data],34,FALSE)</f>
        <v>#REF!</v>
      </c>
      <c r="AB111" s="17"/>
      <c r="AC111" s="17"/>
      <c r="AD111" s="17"/>
      <c r="AE111" s="17"/>
    </row>
    <row r="112" spans="1:31" ht="35.25" customHeight="1">
      <c r="A112" s="21" t="s">
        <v>2221</v>
      </c>
      <c r="B112" s="53" t="s">
        <v>2222</v>
      </c>
      <c r="C112" s="17" t="s">
        <v>2223</v>
      </c>
      <c r="D112" s="17" t="s">
        <v>1308</v>
      </c>
      <c r="E112" s="17" t="str" cm="1">
        <f t="array" ref="E112">IF($F112="Information Disclosure",Formatação!H$5,IF($F112="Repudiation",Formatação!H$4,IF($F112="Spoofing",Formatação!H$2,IF($F112="Tampering",Formatação!H$3, IF($F112="Denial of Service",Formatação!H$6,IF($F112="Elevation of Privilege",Formatação!H$7,IF($F112="Lateral Movement",Formatação!H$8,Errado)))))))</f>
        <v>Confidencialidade</v>
      </c>
      <c r="F112" s="17" t="s">
        <v>35</v>
      </c>
      <c r="G112" s="17" t="str" cm="1">
        <f t="array" ref="G112">IF($F112="Information Disclosure",Formatação!J$5,IF($F112="Repudiation",Formatação!J$4,IF($F112="Spoofing",Formatação!J$2,IF($F112="Tampering",Formatação!J$3, IF($F112="Denial of Service",Formatação!J$6,IF($F112="Elevation of Privilege",Formatação!J$7,IF($F112="Lateral Movement",Formatação!J$8,Errado)))))))</f>
        <v>Vazamento de dados</v>
      </c>
      <c r="H112" s="17" t="s">
        <v>29</v>
      </c>
      <c r="I112" s="17" t="s">
        <v>425</v>
      </c>
      <c r="J112" s="17" t="s">
        <v>944</v>
      </c>
      <c r="K112" s="17" t="s">
        <v>847</v>
      </c>
      <c r="L112" s="17" t="s">
        <v>847</v>
      </c>
      <c r="M112" s="17" t="s">
        <v>847</v>
      </c>
      <c r="N112" s="17" t="s">
        <v>847</v>
      </c>
      <c r="O112" s="17" t="s">
        <v>1614</v>
      </c>
      <c r="P112" s="17" t="s">
        <v>849</v>
      </c>
      <c r="Q112" s="17" t="s">
        <v>849</v>
      </c>
      <c r="R112" s="17" t="s">
        <v>848</v>
      </c>
      <c r="S112" s="17" t="s">
        <v>848</v>
      </c>
      <c r="T112" s="17" t="s">
        <v>848</v>
      </c>
      <c r="U112" s="17" t="s">
        <v>848</v>
      </c>
      <c r="V112" s="17" t="s">
        <v>849</v>
      </c>
      <c r="W112" s="17">
        <f t="shared" si="6"/>
        <v>18</v>
      </c>
      <c r="X112" s="17" t="str">
        <f t="shared" si="7"/>
        <v>Alto</v>
      </c>
      <c r="Y112" s="17" t="s">
        <v>2144</v>
      </c>
      <c r="Z112" s="17" t="s">
        <v>2216</v>
      </c>
      <c r="AA112" s="17" t="s">
        <v>2224</v>
      </c>
      <c r="AB112" s="17"/>
      <c r="AC112" s="17"/>
      <c r="AD112" s="17"/>
      <c r="AE112" s="17"/>
    </row>
    <row r="113" spans="1:31" ht="35.25" customHeight="1">
      <c r="A113" s="21" t="s">
        <v>2225</v>
      </c>
      <c r="B113" s="53" t="s">
        <v>2226</v>
      </c>
      <c r="C113" s="17" t="s">
        <v>2227</v>
      </c>
      <c r="D113" s="17" t="s">
        <v>1308</v>
      </c>
      <c r="E113" s="17" t="str" cm="1">
        <f t="array" ref="E113">IF($F113="Information Disclosure",Formatação!H$5,IF($F113="Repudiation",Formatação!H$4,IF($F113="Spoofing",Formatação!H$2,IF($F113="Tampering",Formatação!H$3, IF($F113="Denial of Service",Formatação!H$6,IF($F113="Elevation of Privilege",Formatação!H$7,IF($F113="Lateral Movement",Formatação!H$8,Errado)))))))</f>
        <v>Não repúdio</v>
      </c>
      <c r="F113" s="17" t="s">
        <v>32</v>
      </c>
      <c r="G113" s="17" t="str" cm="1">
        <f t="array" ref="G113">IF($F113="Information Disclosure",Formatação!J$5,IF($F113="Repudiation",Formatação!J$4,IF($F113="Spoofing",Formatação!J$2,IF($F113="Tampering",Formatação!J$3, IF($F113="Denial of Service",Formatação!J$6,IF($F113="Elevation of Privilege",Formatação!J$7,IF($F113="Lateral Movement",Formatação!J$8,Errado)))))))</f>
        <v>Regulatório/Compliance</v>
      </c>
      <c r="H113" s="17" t="s">
        <v>29</v>
      </c>
      <c r="I113" s="17" t="s">
        <v>964</v>
      </c>
      <c r="J113" s="17" t="s">
        <v>944</v>
      </c>
      <c r="K113" s="17" t="s">
        <v>847</v>
      </c>
      <c r="L113" s="17" t="s">
        <v>847</v>
      </c>
      <c r="M113" s="17" t="s">
        <v>847</v>
      </c>
      <c r="N113" s="17" t="s">
        <v>847</v>
      </c>
      <c r="O113" s="17" t="s">
        <v>1614</v>
      </c>
      <c r="P113" s="17" t="s">
        <v>849</v>
      </c>
      <c r="Q113" s="17" t="s">
        <v>849</v>
      </c>
      <c r="R113" s="17" t="s">
        <v>848</v>
      </c>
      <c r="S113" s="17" t="s">
        <v>849</v>
      </c>
      <c r="T113" s="17" t="s">
        <v>848</v>
      </c>
      <c r="U113" s="17" t="s">
        <v>848</v>
      </c>
      <c r="V113" s="17" t="s">
        <v>849</v>
      </c>
      <c r="W113" s="17">
        <f t="shared" si="6"/>
        <v>17</v>
      </c>
      <c r="X113" s="17" t="str">
        <f t="shared" si="7"/>
        <v>Alto</v>
      </c>
      <c r="Y113" s="17" t="s">
        <v>851</v>
      </c>
      <c r="Z113" s="17" t="s">
        <v>2228</v>
      </c>
      <c r="AA113" s="17" t="s">
        <v>2229</v>
      </c>
      <c r="AB113" s="17"/>
      <c r="AC113" s="17"/>
      <c r="AD113" s="17"/>
      <c r="AE113" s="17"/>
    </row>
    <row r="114" spans="1:31" ht="35.25" customHeight="1">
      <c r="A114" s="21" t="s">
        <v>2230</v>
      </c>
      <c r="B114" s="53" t="s">
        <v>2231</v>
      </c>
      <c r="C114" s="17" t="s">
        <v>2232</v>
      </c>
      <c r="D114" s="17" t="s">
        <v>1308</v>
      </c>
      <c r="E114" s="17" t="str" cm="1">
        <f t="array" ref="E114">IF($F114="Information Disclosure",Formatação!H$5,IF($F114="Repudiation",Formatação!H$4,IF($F114="Spoofing",Formatação!H$2,IF($F114="Tampering",Formatação!H$3, IF($F114="Denial of Service",Formatação!H$6,IF($F114="Elevation of Privilege",Formatação!H$7,IF($F114="Lateral Movement",Formatação!H$8,Errado)))))))</f>
        <v>Confidencialidade</v>
      </c>
      <c r="F114" s="17" t="s">
        <v>35</v>
      </c>
      <c r="G114" s="17" t="str" cm="1">
        <f t="array" ref="G114">IF($F114="Information Disclosure",Formatação!J$5,IF($F114="Repudiation",Formatação!J$4,IF($F114="Spoofing",Formatação!J$2,IF($F114="Tampering",Formatação!J$3, IF($F114="Denial of Service",Formatação!J$6,IF($F114="Elevation of Privilege",Formatação!J$7,IF($F114="Lateral Movement",Formatação!J$8,Errado)))))))</f>
        <v>Vazamento de dados</v>
      </c>
      <c r="H114" s="17" t="s">
        <v>23</v>
      </c>
      <c r="I114" s="17" t="s">
        <v>964</v>
      </c>
      <c r="J114" s="17" t="s">
        <v>944</v>
      </c>
      <c r="K114" s="17" t="s">
        <v>847</v>
      </c>
      <c r="L114" s="17" t="s">
        <v>847</v>
      </c>
      <c r="M114" s="17" t="s">
        <v>847</v>
      </c>
      <c r="N114" s="17" t="s">
        <v>847</v>
      </c>
      <c r="O114" s="17" t="s">
        <v>849</v>
      </c>
      <c r="P114" s="17" t="s">
        <v>849</v>
      </c>
      <c r="Q114" s="17" t="s">
        <v>849</v>
      </c>
      <c r="R114" s="17" t="s">
        <v>848</v>
      </c>
      <c r="S114" s="17" t="s">
        <v>849</v>
      </c>
      <c r="T114" s="17" t="s">
        <v>848</v>
      </c>
      <c r="U114" s="17" t="s">
        <v>848</v>
      </c>
      <c r="V114" s="17" t="s">
        <v>849</v>
      </c>
      <c r="W114" s="17">
        <f t="shared" si="6"/>
        <v>19</v>
      </c>
      <c r="X114" s="17" t="str">
        <f t="shared" si="7"/>
        <v>Crítico</v>
      </c>
      <c r="Y114" s="17" t="s">
        <v>851</v>
      </c>
      <c r="Z114" s="17" t="s">
        <v>2228</v>
      </c>
      <c r="AA114" s="17" t="s">
        <v>2229</v>
      </c>
      <c r="AB114" s="17"/>
      <c r="AC114" s="17"/>
      <c r="AD114" s="17"/>
      <c r="AE114" s="17"/>
    </row>
    <row r="115" spans="1:31" ht="35.25" customHeight="1">
      <c r="A115" s="21" t="s">
        <v>2233</v>
      </c>
      <c r="B115" s="53" t="s">
        <v>2234</v>
      </c>
      <c r="C115" s="17" t="s">
        <v>2235</v>
      </c>
      <c r="D115" s="17" t="s">
        <v>1308</v>
      </c>
      <c r="E115" s="17" t="str" cm="1">
        <f t="array" ref="E115">IF($F115="Information Disclosure",Formatação!H$5,IF($F115="Repudiation",Formatação!H$4,IF($F115="Spoofing",Formatação!H$2,IF($F115="Tampering",Formatação!H$3, IF($F115="Denial of Service",Formatação!H$6,IF($F115="Elevation of Privilege",Formatação!H$7,IF($F115="Lateral Movement",Formatação!H$8,Errado)))))))</f>
        <v>Não repúdio</v>
      </c>
      <c r="F115" s="17" t="s">
        <v>32</v>
      </c>
      <c r="G115" s="17" t="str" cm="1">
        <f t="array" ref="G115">IF($F115="Information Disclosure",Formatação!J$5,IF($F115="Repudiation",Formatação!J$4,IF($F115="Spoofing",Formatação!J$2,IF($F115="Tampering",Formatação!J$3, IF($F115="Denial of Service",Formatação!J$6,IF($F115="Elevation of Privilege",Formatação!J$7,IF($F115="Lateral Movement",Formatação!J$8,Errado)))))))</f>
        <v>Regulatório/Compliance</v>
      </c>
      <c r="H115" s="17" t="s">
        <v>23</v>
      </c>
      <c r="I115" s="17" t="s">
        <v>964</v>
      </c>
      <c r="J115" s="17" t="s">
        <v>357</v>
      </c>
      <c r="K115" s="17" t="s">
        <v>847</v>
      </c>
      <c r="L115" s="17" t="s">
        <v>847</v>
      </c>
      <c r="M115" s="17" t="s">
        <v>847</v>
      </c>
      <c r="N115" s="17" t="s">
        <v>847</v>
      </c>
      <c r="O115" s="17" t="s">
        <v>849</v>
      </c>
      <c r="P115" s="17" t="s">
        <v>849</v>
      </c>
      <c r="Q115" s="17" t="s">
        <v>849</v>
      </c>
      <c r="R115" s="17" t="s">
        <v>848</v>
      </c>
      <c r="S115" s="17" t="s">
        <v>849</v>
      </c>
      <c r="T115" s="17" t="s">
        <v>848</v>
      </c>
      <c r="U115" s="17" t="s">
        <v>848</v>
      </c>
      <c r="V115" s="17" t="s">
        <v>849</v>
      </c>
      <c r="W115" s="17">
        <f t="shared" si="6"/>
        <v>19</v>
      </c>
      <c r="X115" s="17" t="str">
        <f t="shared" si="7"/>
        <v>Crítico</v>
      </c>
      <c r="Y115" s="17" t="s">
        <v>851</v>
      </c>
      <c r="Z115" s="17" t="s">
        <v>2228</v>
      </c>
      <c r="AA115" s="17" t="s">
        <v>2236</v>
      </c>
      <c r="AB115" s="17"/>
      <c r="AC115" s="17"/>
      <c r="AD115" s="17"/>
      <c r="AE115" s="17"/>
    </row>
    <row r="116" spans="1:31" ht="35.25" customHeight="1">
      <c r="A116" s="21" t="s">
        <v>2237</v>
      </c>
      <c r="B116" s="53" t="s">
        <v>2238</v>
      </c>
      <c r="C116" s="17" t="s">
        <v>2239</v>
      </c>
      <c r="D116" s="17" t="s">
        <v>1308</v>
      </c>
      <c r="E116" s="17" t="str" cm="1">
        <f t="array" ref="E116">IF($F116="Information Disclosure",Formatação!H$5,IF($F116="Repudiation",Formatação!H$4,IF($F116="Spoofing",Formatação!H$2,IF($F116="Tampering",Formatação!H$3, IF($F116="Denial of Service",Formatação!H$6,IF($F116="Elevation of Privilege",Formatação!H$7,IF($F116="Lateral Movement",Formatação!H$8,Errado)))))))</f>
        <v>Confidencialidade</v>
      </c>
      <c r="F116" s="17" t="s">
        <v>35</v>
      </c>
      <c r="G116" s="17" t="str" cm="1">
        <f t="array" ref="G116">IF($F116="Information Disclosure",Formatação!J$5,IF($F116="Repudiation",Formatação!J$4,IF($F116="Spoofing",Formatação!J$2,IF($F116="Tampering",Formatação!J$3, IF($F116="Denial of Service",Formatação!J$6,IF($F116="Elevation of Privilege",Formatação!J$7,IF($F116="Lateral Movement",Formatação!J$8,Errado)))))))</f>
        <v>Vazamento de dados</v>
      </c>
      <c r="H116" s="17" t="s">
        <v>29</v>
      </c>
      <c r="I116" s="17" t="s">
        <v>231</v>
      </c>
      <c r="J116" s="17" t="s">
        <v>357</v>
      </c>
      <c r="K116" s="17" t="s">
        <v>847</v>
      </c>
      <c r="L116" s="17" t="s">
        <v>847</v>
      </c>
      <c r="M116" s="17" t="s">
        <v>847</v>
      </c>
      <c r="N116" s="17" t="s">
        <v>847</v>
      </c>
      <c r="O116" s="17" t="s">
        <v>849</v>
      </c>
      <c r="P116" s="17" t="s">
        <v>848</v>
      </c>
      <c r="Q116" s="17" t="s">
        <v>849</v>
      </c>
      <c r="R116" s="17" t="s">
        <v>848</v>
      </c>
      <c r="S116" s="17" t="s">
        <v>848</v>
      </c>
      <c r="T116" s="17" t="s">
        <v>848</v>
      </c>
      <c r="U116" s="17" t="s">
        <v>848</v>
      </c>
      <c r="V116" s="17" t="s">
        <v>849</v>
      </c>
      <c r="W116" s="17">
        <f t="shared" si="6"/>
        <v>21</v>
      </c>
      <c r="X116" s="17" t="str">
        <f t="shared" si="7"/>
        <v>Crítico</v>
      </c>
      <c r="Y116" s="17" t="s">
        <v>851</v>
      </c>
      <c r="Z116" s="17" t="s">
        <v>2228</v>
      </c>
      <c r="AA116" s="17" t="s">
        <v>2240</v>
      </c>
      <c r="AB116" s="17"/>
      <c r="AC116" s="17"/>
      <c r="AD116" s="17"/>
      <c r="AE116" s="17"/>
    </row>
    <row r="117" spans="1:31" ht="35.25" customHeight="1">
      <c r="A117" s="21" t="s">
        <v>2241</v>
      </c>
      <c r="B117" s="53" t="s">
        <v>2242</v>
      </c>
      <c r="C117" s="17" t="s">
        <v>2243</v>
      </c>
      <c r="D117" s="17" t="s">
        <v>1308</v>
      </c>
      <c r="E117" s="17" t="str" cm="1">
        <f t="array" ref="E117">IF($F117="Information Disclosure",Formatação!H$5,IF($F117="Repudiation",Formatação!H$4,IF($F117="Spoofing",Formatação!H$2,IF($F117="Tampering",Formatação!H$3, IF($F117="Denial of Service",Formatação!H$6,IF($F117="Elevation of Privilege",Formatação!H$7,IF($F117="Lateral Movement",Formatação!H$8,Errado)))))))</f>
        <v>Confidencialidade</v>
      </c>
      <c r="F117" s="17" t="s">
        <v>35</v>
      </c>
      <c r="G117" s="17" t="str" cm="1">
        <f t="array" ref="G117">IF($F117="Information Disclosure",Formatação!J$5,IF($F117="Repudiation",Formatação!J$4,IF($F117="Spoofing",Formatação!J$2,IF($F117="Tampering",Formatação!J$3, IF($F117="Denial of Service",Formatação!J$6,IF($F117="Elevation of Privilege",Formatação!J$7,IF($F117="Lateral Movement",Formatação!J$8,Errado)))))))</f>
        <v>Vazamento de dados</v>
      </c>
      <c r="H117" s="17" t="s">
        <v>23</v>
      </c>
      <c r="I117" s="17" t="s">
        <v>951</v>
      </c>
      <c r="J117" s="17" t="s">
        <v>357</v>
      </c>
      <c r="K117" s="17" t="s">
        <v>847</v>
      </c>
      <c r="L117" s="17" t="s">
        <v>847</v>
      </c>
      <c r="M117" s="17" t="s">
        <v>847</v>
      </c>
      <c r="N117" s="17" t="s">
        <v>847</v>
      </c>
      <c r="O117" s="17" t="s">
        <v>849</v>
      </c>
      <c r="P117" s="17" t="s">
        <v>848</v>
      </c>
      <c r="Q117" s="17" t="s">
        <v>848</v>
      </c>
      <c r="R117" s="17" t="s">
        <v>848</v>
      </c>
      <c r="S117" s="17" t="s">
        <v>848</v>
      </c>
      <c r="T117" s="17" t="s">
        <v>848</v>
      </c>
      <c r="U117" s="17" t="s">
        <v>848</v>
      </c>
      <c r="V117" s="17" t="s">
        <v>849</v>
      </c>
      <c r="W117" s="17">
        <f t="shared" si="6"/>
        <v>22</v>
      </c>
      <c r="X117" s="17" t="str">
        <f t="shared" si="7"/>
        <v>Crítico</v>
      </c>
      <c r="Y117" s="17" t="s">
        <v>851</v>
      </c>
      <c r="Z117" s="17" t="s">
        <v>2228</v>
      </c>
      <c r="AA117" s="17" t="s">
        <v>2244</v>
      </c>
      <c r="AB117" s="17"/>
      <c r="AC117" s="17"/>
      <c r="AD117" s="17"/>
      <c r="AE117" s="17"/>
    </row>
    <row r="118" spans="1:31" ht="35.25" customHeight="1">
      <c r="A118" s="21" t="s">
        <v>2245</v>
      </c>
      <c r="B118" s="53" t="s">
        <v>2246</v>
      </c>
      <c r="C118" s="17" t="s">
        <v>2247</v>
      </c>
      <c r="D118" s="17" t="s">
        <v>1308</v>
      </c>
      <c r="E118" s="17" t="str" cm="1">
        <f t="array" ref="E118">IF($F118="Information Disclosure",Formatação!H$5,IF($F118="Repudiation",Formatação!H$4,IF($F118="Spoofing",Formatação!H$2,IF($F118="Tampering",Formatação!H$3, IF($F118="Denial of Service",Formatação!H$6,IF($F118="Elevation of Privilege",Formatação!H$7,IF($F118="Lateral Movement",Formatação!H$8,Errado)))))))</f>
        <v>Confidencialidade</v>
      </c>
      <c r="F118" s="17" t="s">
        <v>35</v>
      </c>
      <c r="G118" s="17" t="str" cm="1">
        <f t="array" ref="G118">IF($F118="Information Disclosure",Formatação!J$5,IF($F118="Repudiation",Formatação!J$4,IF($F118="Spoofing",Formatação!J$2,IF($F118="Tampering",Formatação!J$3, IF($F118="Denial of Service",Formatação!J$6,IF($F118="Elevation of Privilege",Formatação!J$7,IF($F118="Lateral Movement",Formatação!J$8,Errado)))))))</f>
        <v>Vazamento de dados</v>
      </c>
      <c r="H118" s="17" t="s">
        <v>29</v>
      </c>
      <c r="I118" s="17" t="s">
        <v>964</v>
      </c>
      <c r="J118" s="17" t="s">
        <v>357</v>
      </c>
      <c r="K118" s="17" t="s">
        <v>847</v>
      </c>
      <c r="L118" s="17" t="s">
        <v>847</v>
      </c>
      <c r="M118" s="17" t="s">
        <v>847</v>
      </c>
      <c r="N118" s="17" t="s">
        <v>847</v>
      </c>
      <c r="O118" s="17" t="s">
        <v>849</v>
      </c>
      <c r="P118" s="17" t="s">
        <v>848</v>
      </c>
      <c r="Q118" s="17" t="s">
        <v>849</v>
      </c>
      <c r="R118" s="17" t="s">
        <v>849</v>
      </c>
      <c r="S118" s="17" t="s">
        <v>848</v>
      </c>
      <c r="T118" s="17" t="s">
        <v>848</v>
      </c>
      <c r="U118" s="17" t="s">
        <v>848</v>
      </c>
      <c r="V118" s="17" t="s">
        <v>849</v>
      </c>
      <c r="W118" s="17">
        <f t="shared" si="6"/>
        <v>20</v>
      </c>
      <c r="X118" s="17" t="str">
        <f t="shared" si="7"/>
        <v>Crítico</v>
      </c>
      <c r="Y118" s="17" t="s">
        <v>851</v>
      </c>
      <c r="Z118" s="17" t="s">
        <v>2248</v>
      </c>
      <c r="AA118" s="17" t="s">
        <v>2249</v>
      </c>
      <c r="AB118" s="17"/>
      <c r="AC118" s="17"/>
      <c r="AD118" s="17"/>
      <c r="AE118" s="17"/>
    </row>
    <row r="119" spans="1:31" ht="35.25" customHeight="1">
      <c r="A119" s="21" t="s">
        <v>2250</v>
      </c>
      <c r="B119" s="53" t="s">
        <v>2251</v>
      </c>
      <c r="C119" s="17" t="s">
        <v>2252</v>
      </c>
      <c r="D119" s="17" t="s">
        <v>1308</v>
      </c>
      <c r="E119" s="17" t="str" cm="1">
        <f t="array" ref="E119">IF($F119="Information Disclosure",Formatação!H$5,IF($F119="Repudiation",Formatação!H$4,IF($F119="Spoofing",Formatação!H$2,IF($F119="Tampering",Formatação!H$3, IF($F119="Denial of Service",Formatação!H$6,IF($F119="Elevation of Privilege",Formatação!H$7,IF($F119="Lateral Movement",Formatação!H$8,Errado)))))))</f>
        <v>Confidencialidade</v>
      </c>
      <c r="F119" s="17" t="s">
        <v>35</v>
      </c>
      <c r="G119" s="17" t="str" cm="1">
        <f t="array" ref="G119">IF($F119="Information Disclosure",Formatação!J$5,IF($F119="Repudiation",Formatação!J$4,IF($F119="Spoofing",Formatação!J$2,IF($F119="Tampering",Formatação!J$3, IF($F119="Denial of Service",Formatação!J$6,IF($F119="Elevation of Privilege",Formatação!J$7,IF($F119="Lateral Movement",Formatação!J$8,Errado)))))))</f>
        <v>Vazamento de dados</v>
      </c>
      <c r="H119" s="17" t="s">
        <v>29</v>
      </c>
      <c r="I119" s="17" t="s">
        <v>964</v>
      </c>
      <c r="J119" s="17" t="s">
        <v>357</v>
      </c>
      <c r="K119" s="17" t="s">
        <v>847</v>
      </c>
      <c r="L119" s="17" t="s">
        <v>847</v>
      </c>
      <c r="M119" s="17" t="s">
        <v>847</v>
      </c>
      <c r="N119" s="17" t="s">
        <v>847</v>
      </c>
      <c r="O119" s="17" t="s">
        <v>848</v>
      </c>
      <c r="P119" s="17" t="s">
        <v>848</v>
      </c>
      <c r="Q119" s="17" t="s">
        <v>848</v>
      </c>
      <c r="R119" s="17" t="s">
        <v>848</v>
      </c>
      <c r="S119" s="17" t="s">
        <v>848</v>
      </c>
      <c r="T119" s="17" t="s">
        <v>848</v>
      </c>
      <c r="U119" s="17" t="s">
        <v>848</v>
      </c>
      <c r="V119" s="17" t="s">
        <v>849</v>
      </c>
      <c r="W119" s="17">
        <f t="shared" si="6"/>
        <v>23</v>
      </c>
      <c r="X119" s="17" t="str">
        <f t="shared" si="7"/>
        <v>Crítico</v>
      </c>
      <c r="Y119" s="17" t="s">
        <v>851</v>
      </c>
      <c r="Z119" s="17" t="s">
        <v>2253</v>
      </c>
      <c r="AA119" s="17" t="s">
        <v>2254</v>
      </c>
      <c r="AB119" s="17"/>
      <c r="AC119" s="17"/>
      <c r="AD119" s="17"/>
      <c r="AE119" s="17"/>
    </row>
    <row r="120" spans="1:31" ht="35.25" customHeight="1">
      <c r="A120" s="21" t="s">
        <v>2255</v>
      </c>
      <c r="B120" s="53" t="s">
        <v>2256</v>
      </c>
      <c r="C120" s="17" t="s">
        <v>2257</v>
      </c>
      <c r="D120" s="17" t="s">
        <v>1308</v>
      </c>
      <c r="E120" s="17" t="str" cm="1">
        <f t="array" ref="E120">IF($F120="Information Disclosure",Formatação!H$5,IF($F120="Repudiation",Formatação!H$4,IF($F120="Spoofing",Formatação!H$2,IF($F120="Tampering",Formatação!H$3, IF($F120="Denial of Service",Formatação!H$6,IF($F120="Elevation of Privilege",Formatação!H$7,IF($F120="Lateral Movement",Formatação!H$8,Errado)))))))</f>
        <v>Confidencialidade</v>
      </c>
      <c r="F120" s="17" t="s">
        <v>35</v>
      </c>
      <c r="G120" s="17" t="str" cm="1">
        <f t="array" ref="G120">IF($F120="Information Disclosure",Formatação!J$5,IF($F120="Repudiation",Formatação!J$4,IF($F120="Spoofing",Formatação!J$2,IF($F120="Tampering",Formatação!J$3, IF($F120="Denial of Service",Formatação!J$6,IF($F120="Elevation of Privilege",Formatação!J$7,IF($F120="Lateral Movement",Formatação!J$8,Errado)))))))</f>
        <v>Vazamento de dados</v>
      </c>
      <c r="H120" s="17" t="s">
        <v>29</v>
      </c>
      <c r="I120" s="17" t="s">
        <v>231</v>
      </c>
      <c r="J120" s="17" t="s">
        <v>357</v>
      </c>
      <c r="K120" s="17" t="s">
        <v>847</v>
      </c>
      <c r="L120" s="17" t="s">
        <v>847</v>
      </c>
      <c r="M120" s="17" t="s">
        <v>847</v>
      </c>
      <c r="N120" s="17" t="s">
        <v>1293</v>
      </c>
      <c r="O120" s="17" t="s">
        <v>849</v>
      </c>
      <c r="P120" s="17" t="s">
        <v>848</v>
      </c>
      <c r="Q120" s="17" t="s">
        <v>849</v>
      </c>
      <c r="R120" s="17" t="s">
        <v>848</v>
      </c>
      <c r="S120" s="17" t="s">
        <v>848</v>
      </c>
      <c r="T120" s="17" t="s">
        <v>848</v>
      </c>
      <c r="U120" s="17" t="s">
        <v>848</v>
      </c>
      <c r="V120" s="17" t="s">
        <v>849</v>
      </c>
      <c r="W120" s="17">
        <f t="shared" si="6"/>
        <v>21</v>
      </c>
      <c r="X120" s="17" t="str">
        <f t="shared" si="7"/>
        <v>Crítico</v>
      </c>
      <c r="Y120" s="17" t="s">
        <v>851</v>
      </c>
      <c r="Z120" s="17" t="s">
        <v>2258</v>
      </c>
      <c r="AA120" s="17" t="s">
        <v>2240</v>
      </c>
      <c r="AB120" s="17"/>
      <c r="AC120" s="17"/>
      <c r="AD120" s="17"/>
      <c r="AE120" s="17"/>
    </row>
    <row r="121" spans="1:31" ht="35.25" customHeight="1">
      <c r="A121" s="21" t="s">
        <v>2259</v>
      </c>
      <c r="B121" s="53" t="s">
        <v>2260</v>
      </c>
      <c r="C121" s="17" t="s">
        <v>2261</v>
      </c>
      <c r="D121" s="17" t="s">
        <v>1308</v>
      </c>
      <c r="E121" s="17" t="str" cm="1">
        <f t="array" ref="E121">IF($F121="Information Disclosure",Formatação!H$5,IF($F121="Repudiation",Formatação!H$4,IF($F121="Spoofing",Formatação!H$2,IF($F121="Tampering",Formatação!H$3, IF($F121="Denial of Service",Formatação!H$6,IF($F121="Elevation of Privilege",Formatação!H$7,IF($F121="Lateral Movement",Formatação!H$8,Errado)))))))</f>
        <v>Confidencialidade</v>
      </c>
      <c r="F121" s="17" t="s">
        <v>35</v>
      </c>
      <c r="G121" s="17" t="str" cm="1">
        <f t="array" ref="G121">IF($F121="Information Disclosure",Formatação!J$5,IF($F121="Repudiation",Formatação!J$4,IF($F121="Spoofing",Formatação!J$2,IF($F121="Tampering",Formatação!J$3, IF($F121="Denial of Service",Formatação!J$6,IF($F121="Elevation of Privilege",Formatação!J$7,IF($F121="Lateral Movement",Formatação!J$8,Errado)))))))</f>
        <v>Vazamento de dados</v>
      </c>
      <c r="H121" s="17" t="s">
        <v>14</v>
      </c>
      <c r="I121" s="17" t="s">
        <v>943</v>
      </c>
      <c r="J121" s="17" t="s">
        <v>232</v>
      </c>
      <c r="K121" s="17" t="s">
        <v>847</v>
      </c>
      <c r="L121" s="17" t="s">
        <v>847</v>
      </c>
      <c r="M121" s="17" t="s">
        <v>847</v>
      </c>
      <c r="N121" s="17" t="s">
        <v>847</v>
      </c>
      <c r="O121" s="17" t="s">
        <v>848</v>
      </c>
      <c r="P121" s="17" t="s">
        <v>848</v>
      </c>
      <c r="Q121" s="17" t="s">
        <v>848</v>
      </c>
      <c r="R121" s="17" t="s">
        <v>848</v>
      </c>
      <c r="S121" s="17" t="s">
        <v>848</v>
      </c>
      <c r="T121" s="17" t="s">
        <v>848</v>
      </c>
      <c r="U121" s="17" t="s">
        <v>848</v>
      </c>
      <c r="V121" s="17" t="s">
        <v>849</v>
      </c>
      <c r="W121" s="17">
        <f t="shared" si="6"/>
        <v>23</v>
      </c>
      <c r="X121" s="17" t="str">
        <f t="shared" si="7"/>
        <v>Crítico</v>
      </c>
      <c r="Y121" s="17" t="s">
        <v>851</v>
      </c>
      <c r="Z121" s="17" t="s">
        <v>2258</v>
      </c>
      <c r="AA121" s="17" t="s">
        <v>2262</v>
      </c>
      <c r="AB121" s="17"/>
      <c r="AC121" s="17"/>
      <c r="AD121" s="17"/>
      <c r="AE121" s="17"/>
    </row>
    <row r="122" spans="1:31" ht="35.25" customHeight="1">
      <c r="A122" s="21" t="s">
        <v>2263</v>
      </c>
      <c r="B122" s="53" t="s">
        <v>2264</v>
      </c>
      <c r="C122" s="17" t="s">
        <v>2265</v>
      </c>
      <c r="D122" s="17" t="s">
        <v>1308</v>
      </c>
      <c r="E122" s="17" t="str" cm="1">
        <f t="array" ref="E122">IF($F122="Information Disclosure",Formatação!H$5,IF($F122="Repudiation",Formatação!H$4,IF($F122="Spoofing",Formatação!H$2,IF($F122="Tampering",Formatação!H$3, IF($F122="Denial of Service",Formatação!H$6,IF($F122="Elevation of Privilege",Formatação!H$7,IF($F122="Lateral Movement",Formatação!H$8,Errado)))))))</f>
        <v>Autenticação</v>
      </c>
      <c r="F122" s="17" t="s">
        <v>102</v>
      </c>
      <c r="G122" s="17" t="str" cm="1">
        <f t="array" ref="G122">IF($F122="Information Disclosure",Formatação!J$5,IF($F122="Repudiation",Formatação!J$4,IF($F122="Spoofing",Formatação!J$2,IF($F122="Tampering",Formatação!J$3, IF($F122="Denial of Service",Formatação!J$6,IF($F122="Elevation of Privilege",Formatação!J$7,IF($F122="Lateral Movement",Formatação!J$8,Errado)))))))</f>
        <v>Fraudes/Vazamento de dados</v>
      </c>
      <c r="H122" s="17" t="s">
        <v>23</v>
      </c>
      <c r="I122" s="17" t="s">
        <v>951</v>
      </c>
      <c r="J122" s="17" t="s">
        <v>944</v>
      </c>
      <c r="K122" s="17" t="s">
        <v>847</v>
      </c>
      <c r="L122" s="17" t="s">
        <v>847</v>
      </c>
      <c r="M122" s="17" t="s">
        <v>847</v>
      </c>
      <c r="N122" s="17" t="s">
        <v>847</v>
      </c>
      <c r="O122" s="17" t="s">
        <v>848</v>
      </c>
      <c r="P122" s="17" t="s">
        <v>848</v>
      </c>
      <c r="Q122" s="17" t="s">
        <v>848</v>
      </c>
      <c r="R122" s="17" t="s">
        <v>848</v>
      </c>
      <c r="S122" s="17" t="s">
        <v>848</v>
      </c>
      <c r="T122" s="17" t="s">
        <v>848</v>
      </c>
      <c r="U122" s="17" t="s">
        <v>848</v>
      </c>
      <c r="V122" s="17" t="s">
        <v>849</v>
      </c>
      <c r="W122" s="17">
        <f t="shared" si="6"/>
        <v>23</v>
      </c>
      <c r="X122" s="17" t="str">
        <f t="shared" si="7"/>
        <v>Crítico</v>
      </c>
      <c r="Y122" s="17" t="s">
        <v>2266</v>
      </c>
      <c r="Z122" s="17" t="s">
        <v>2267</v>
      </c>
      <c r="AA122" s="17" t="s">
        <v>2268</v>
      </c>
      <c r="AB122" s="17"/>
      <c r="AC122" s="17"/>
      <c r="AD122" s="17"/>
      <c r="AE122" s="17"/>
    </row>
    <row r="123" spans="1:31" ht="35.25" customHeight="1">
      <c r="A123" s="21" t="s">
        <v>2269</v>
      </c>
      <c r="B123" s="53" t="s">
        <v>2270</v>
      </c>
      <c r="C123" s="17" t="s">
        <v>2271</v>
      </c>
      <c r="D123" s="17" t="s">
        <v>1308</v>
      </c>
      <c r="E123" s="17" t="str" cm="1">
        <f t="array" ref="E123">IF($F123="Information Disclosure",Formatação!H$5,IF($F123="Repudiation",Formatação!H$4,IF($F123="Spoofing",Formatação!H$2,IF($F123="Tampering",Formatação!H$3, IF($F123="Denial of Service",Formatação!H$6,IF($F123="Elevation of Privilege",Formatação!H$7,IF($F123="Lateral Movement",Formatação!H$8,Errado)))))))</f>
        <v>Confidencialidade</v>
      </c>
      <c r="F123" s="17" t="s">
        <v>35</v>
      </c>
      <c r="G123" s="17" t="str" cm="1">
        <f t="array" ref="G123">IF($F123="Information Disclosure",Formatação!J$5,IF($F123="Repudiation",Formatação!J$4,IF($F123="Spoofing",Formatação!J$2,IF($F123="Tampering",Formatação!J$3, IF($F123="Denial of Service",Formatação!J$6,IF($F123="Elevation of Privilege",Formatação!J$7,IF($F123="Lateral Movement",Formatação!J$8,Errado)))))))</f>
        <v>Vazamento de dados</v>
      </c>
      <c r="H123" s="17" t="s">
        <v>23</v>
      </c>
      <c r="I123" s="17" t="s">
        <v>964</v>
      </c>
      <c r="J123" s="17" t="s">
        <v>357</v>
      </c>
      <c r="K123" s="17" t="s">
        <v>847</v>
      </c>
      <c r="L123" s="17" t="s">
        <v>847</v>
      </c>
      <c r="M123" s="17" t="s">
        <v>847</v>
      </c>
      <c r="N123" s="17" t="s">
        <v>847</v>
      </c>
      <c r="O123" s="17" t="s">
        <v>849</v>
      </c>
      <c r="P123" s="17" t="s">
        <v>848</v>
      </c>
      <c r="Q123" s="17" t="s">
        <v>848</v>
      </c>
      <c r="R123" s="17" t="s">
        <v>848</v>
      </c>
      <c r="S123" s="17" t="s">
        <v>848</v>
      </c>
      <c r="T123" s="17" t="s">
        <v>848</v>
      </c>
      <c r="U123" s="17" t="s">
        <v>848</v>
      </c>
      <c r="V123" s="17" t="s">
        <v>849</v>
      </c>
      <c r="W123" s="17">
        <f t="shared" si="6"/>
        <v>22</v>
      </c>
      <c r="X123" s="17" t="str">
        <f t="shared" si="7"/>
        <v>Crítico</v>
      </c>
      <c r="Y123" s="17" t="s">
        <v>851</v>
      </c>
      <c r="Z123" s="17" t="s">
        <v>2272</v>
      </c>
      <c r="AA123" s="17" t="s">
        <v>2273</v>
      </c>
      <c r="AB123" s="17"/>
      <c r="AC123" s="17"/>
      <c r="AD123" s="17"/>
      <c r="AE123" s="17"/>
    </row>
    <row r="124" spans="1:31" ht="35.25" customHeight="1">
      <c r="A124" s="21" t="s">
        <v>2274</v>
      </c>
      <c r="B124" s="53" t="s">
        <v>2275</v>
      </c>
      <c r="C124" s="17" t="s">
        <v>2276</v>
      </c>
      <c r="D124" s="17" t="s">
        <v>1308</v>
      </c>
      <c r="E124" s="17" t="str" cm="1">
        <f t="array" ref="E124">IF($F124="Information Disclosure",Formatação!H$5,IF($F124="Repudiation",Formatação!H$4,IF($F124="Spoofing",Formatação!H$2,IF($F124="Tampering",Formatação!H$3, IF($F124="Denial of Service",Formatação!H$6,IF($F124="Elevation of Privilege",Formatação!H$7,IF($F124="Lateral Movement",Formatação!H$8,Errado)))))))</f>
        <v>Confidencialidade</v>
      </c>
      <c r="F124" s="17" t="s">
        <v>35</v>
      </c>
      <c r="G124" s="17" t="str" cm="1">
        <f t="array" ref="G124">IF($F124="Information Disclosure",Formatação!J$5,IF($F124="Repudiation",Formatação!J$4,IF($F124="Spoofing",Formatação!J$2,IF($F124="Tampering",Formatação!J$3, IF($F124="Denial of Service",Formatação!J$6,IF($F124="Elevation of Privilege",Formatação!J$7,IF($F124="Lateral Movement",Formatação!J$8,Errado)))))))</f>
        <v>Vazamento de dados</v>
      </c>
      <c r="H124" s="17" t="s">
        <v>29</v>
      </c>
      <c r="I124" s="17" t="s">
        <v>964</v>
      </c>
      <c r="J124" s="17" t="s">
        <v>944</v>
      </c>
      <c r="K124" s="17" t="s">
        <v>847</v>
      </c>
      <c r="L124" s="17" t="s">
        <v>847</v>
      </c>
      <c r="M124" s="17" t="s">
        <v>847</v>
      </c>
      <c r="N124" s="17" t="s">
        <v>847</v>
      </c>
      <c r="O124" s="17" t="s">
        <v>849</v>
      </c>
      <c r="P124" s="17" t="s">
        <v>848</v>
      </c>
      <c r="Q124" s="17" t="s">
        <v>848</v>
      </c>
      <c r="R124" s="17" t="s">
        <v>848</v>
      </c>
      <c r="S124" s="17" t="s">
        <v>849</v>
      </c>
      <c r="T124" s="17" t="s">
        <v>848</v>
      </c>
      <c r="U124" s="17" t="s">
        <v>848</v>
      </c>
      <c r="V124" s="17" t="s">
        <v>849</v>
      </c>
      <c r="W124" s="17">
        <f t="shared" si="6"/>
        <v>21</v>
      </c>
      <c r="X124" s="17" t="str">
        <f t="shared" si="7"/>
        <v>Crítico</v>
      </c>
      <c r="Y124" s="17" t="s">
        <v>851</v>
      </c>
      <c r="Z124" s="17" t="s">
        <v>2216</v>
      </c>
      <c r="AA124" s="17" t="s">
        <v>2224</v>
      </c>
      <c r="AB124" s="17"/>
      <c r="AC124" s="17"/>
      <c r="AD124" s="17"/>
      <c r="AE124" s="17"/>
    </row>
    <row r="125" spans="1:31" ht="35.25" customHeight="1">
      <c r="A125" s="21" t="s">
        <v>2277</v>
      </c>
      <c r="B125" s="53" t="s">
        <v>2278</v>
      </c>
      <c r="C125" s="17" t="s">
        <v>2279</v>
      </c>
      <c r="D125" s="17" t="s">
        <v>1308</v>
      </c>
      <c r="E125" s="17" t="str" cm="1">
        <f t="array" ref="E125">IF($F125="Information Disclosure",Formatação!H$5,IF($F125="Repudiation",Formatação!H$4,IF($F125="Spoofing",Formatação!H$2,IF($F125="Tampering",Formatação!H$3, IF($F125="Denial of Service",Formatação!H$6,IF($F125="Elevation of Privilege",Formatação!H$7,IF($F125="Lateral Movement",Formatação!H$8,Errado)))))))</f>
        <v>Confidencialidade</v>
      </c>
      <c r="F125" s="17" t="s">
        <v>35</v>
      </c>
      <c r="G125" s="17" t="str" cm="1">
        <f t="array" ref="G125">IF($F125="Information Disclosure",Formatação!J$5,IF($F125="Repudiation",Formatação!J$4,IF($F125="Spoofing",Formatação!J$2,IF($F125="Tampering",Formatação!J$3, IF($F125="Denial of Service",Formatação!J$6,IF($F125="Elevation of Privilege",Formatação!J$7,IF($F125="Lateral Movement",Formatação!J$8,Errado)))))))</f>
        <v>Vazamento de dados</v>
      </c>
      <c r="H125" s="17" t="s">
        <v>259</v>
      </c>
      <c r="I125" s="17" t="s">
        <v>964</v>
      </c>
      <c r="J125" s="17" t="s">
        <v>944</v>
      </c>
      <c r="K125" s="17" t="s">
        <v>847</v>
      </c>
      <c r="L125" s="17" t="s">
        <v>847</v>
      </c>
      <c r="M125" s="17" t="s">
        <v>847</v>
      </c>
      <c r="N125" s="17" t="s">
        <v>847</v>
      </c>
      <c r="O125" s="17" t="s">
        <v>849</v>
      </c>
      <c r="P125" s="17" t="s">
        <v>848</v>
      </c>
      <c r="Q125" s="17" t="s">
        <v>848</v>
      </c>
      <c r="R125" s="17" t="s">
        <v>848</v>
      </c>
      <c r="S125" s="17" t="s">
        <v>849</v>
      </c>
      <c r="T125" s="17" t="s">
        <v>848</v>
      </c>
      <c r="U125" s="17" t="s">
        <v>848</v>
      </c>
      <c r="V125" s="17" t="s">
        <v>849</v>
      </c>
      <c r="W125" s="17">
        <f t="shared" si="6"/>
        <v>21</v>
      </c>
      <c r="X125" s="17" t="str">
        <f t="shared" si="7"/>
        <v>Crítico</v>
      </c>
      <c r="Y125" s="17" t="s">
        <v>851</v>
      </c>
      <c r="Z125" s="17" t="s">
        <v>2228</v>
      </c>
      <c r="AA125" s="17" t="s">
        <v>2229</v>
      </c>
      <c r="AB125" s="17"/>
      <c r="AC125" s="17"/>
      <c r="AD125" s="17"/>
      <c r="AE125" s="17"/>
    </row>
    <row r="126" spans="1:31" ht="35.25" customHeight="1">
      <c r="A126" s="21" t="s">
        <v>2280</v>
      </c>
      <c r="B126" s="53" t="s">
        <v>2281</v>
      </c>
      <c r="C126" s="17" t="s">
        <v>2282</v>
      </c>
      <c r="D126" s="17" t="s">
        <v>1308</v>
      </c>
      <c r="E126" s="17" t="str" cm="1">
        <f t="array" ref="E126">IF($F126="Information Disclosure",Formatação!H$5,IF($F126="Repudiation",Formatação!H$4,IF($F126="Spoofing",Formatação!H$2,IF($F126="Tampering",Formatação!H$3, IF($F126="Denial of Service",Formatação!H$6,IF($F126="Elevation of Privilege",Formatação!H$7,IF($F126="Lateral Movement",Formatação!H$8,Errado)))))))</f>
        <v>Confidencialidade</v>
      </c>
      <c r="F126" s="17" t="s">
        <v>35</v>
      </c>
      <c r="G126" s="17" t="str" cm="1">
        <f t="array" ref="G126">IF($F126="Information Disclosure",Formatação!J$5,IF($F126="Repudiation",Formatação!J$4,IF($F126="Spoofing",Formatação!J$2,IF($F126="Tampering",Formatação!J$3, IF($F126="Denial of Service",Formatação!J$6,IF($F126="Elevation of Privilege",Formatação!J$7,IF($F126="Lateral Movement",Formatação!J$8,Errado)))))))</f>
        <v>Vazamento de dados</v>
      </c>
      <c r="H126" s="17" t="s">
        <v>259</v>
      </c>
      <c r="I126" s="17" t="s">
        <v>964</v>
      </c>
      <c r="J126" s="17" t="s">
        <v>944</v>
      </c>
      <c r="K126" s="17" t="s">
        <v>847</v>
      </c>
      <c r="L126" s="17" t="s">
        <v>847</v>
      </c>
      <c r="M126" s="17" t="s">
        <v>847</v>
      </c>
      <c r="N126" s="17" t="s">
        <v>847</v>
      </c>
      <c r="O126" s="17" t="s">
        <v>849</v>
      </c>
      <c r="P126" s="17" t="s">
        <v>848</v>
      </c>
      <c r="Q126" s="17" t="s">
        <v>848</v>
      </c>
      <c r="R126" s="17" t="s">
        <v>848</v>
      </c>
      <c r="S126" s="17" t="s">
        <v>849</v>
      </c>
      <c r="T126" s="17" t="s">
        <v>848</v>
      </c>
      <c r="U126" s="17" t="s">
        <v>848</v>
      </c>
      <c r="V126" s="17" t="s">
        <v>849</v>
      </c>
      <c r="W126" s="17">
        <f t="shared" si="6"/>
        <v>21</v>
      </c>
      <c r="X126" s="17" t="str">
        <f t="shared" si="7"/>
        <v>Crítico</v>
      </c>
      <c r="Y126" s="17" t="s">
        <v>851</v>
      </c>
      <c r="Z126" s="17" t="s">
        <v>2228</v>
      </c>
      <c r="AA126" s="17" t="s">
        <v>2229</v>
      </c>
      <c r="AB126" s="17"/>
      <c r="AC126" s="17"/>
      <c r="AD126" s="17"/>
      <c r="AE126" s="17"/>
    </row>
    <row r="127" spans="1:31" ht="35.25" customHeight="1">
      <c r="A127" s="21" t="s">
        <v>2283</v>
      </c>
      <c r="B127" s="53" t="s">
        <v>2284</v>
      </c>
      <c r="C127" s="17" t="s">
        <v>2285</v>
      </c>
      <c r="D127" s="17" t="s">
        <v>1308</v>
      </c>
      <c r="E127" s="17" t="str" cm="1">
        <f t="array" ref="E127">IF($F127="Information Disclosure",Formatação!H$5,IF($F127="Repudiation",Formatação!H$4,IF($F127="Spoofing",Formatação!H$2,IF($F127="Tampering",Formatação!H$3, IF($F127="Denial of Service",Formatação!H$6,IF($F127="Elevation of Privilege",Formatação!H$7,IF($F127="Lateral Movement",Formatação!H$8,Errado)))))))</f>
        <v>Confidencialidade</v>
      </c>
      <c r="F127" s="17" t="s">
        <v>35</v>
      </c>
      <c r="G127" s="17" t="str" cm="1">
        <f t="array" ref="G127">IF($F127="Information Disclosure",Formatação!J$5,IF($F127="Repudiation",Formatação!J$4,IF($F127="Spoofing",Formatação!J$2,IF($F127="Tampering",Formatação!J$3, IF($F127="Denial of Service",Formatação!J$6,IF($F127="Elevation of Privilege",Formatação!J$7,IF($F127="Lateral Movement",Formatação!J$8,Errado)))))))</f>
        <v>Vazamento de dados</v>
      </c>
      <c r="H127" s="17" t="s">
        <v>259</v>
      </c>
      <c r="I127" s="17" t="s">
        <v>964</v>
      </c>
      <c r="J127" s="17" t="s">
        <v>357</v>
      </c>
      <c r="K127" s="17" t="s">
        <v>847</v>
      </c>
      <c r="L127" s="17" t="s">
        <v>847</v>
      </c>
      <c r="M127" s="17" t="s">
        <v>847</v>
      </c>
      <c r="N127" s="17" t="s">
        <v>847</v>
      </c>
      <c r="O127" s="17" t="s">
        <v>849</v>
      </c>
      <c r="P127" s="17" t="s">
        <v>848</v>
      </c>
      <c r="Q127" s="17" t="s">
        <v>848</v>
      </c>
      <c r="R127" s="17" t="s">
        <v>848</v>
      </c>
      <c r="S127" s="17" t="s">
        <v>849</v>
      </c>
      <c r="T127" s="17" t="s">
        <v>848</v>
      </c>
      <c r="U127" s="17" t="s">
        <v>848</v>
      </c>
      <c r="V127" s="17" t="s">
        <v>849</v>
      </c>
      <c r="W127" s="17">
        <f t="shared" si="6"/>
        <v>21</v>
      </c>
      <c r="X127" s="17" t="str">
        <f t="shared" si="7"/>
        <v>Crítico</v>
      </c>
      <c r="Y127" s="17" t="s">
        <v>851</v>
      </c>
      <c r="Z127" s="17" t="s">
        <v>2228</v>
      </c>
      <c r="AA127" s="17" t="s">
        <v>2229</v>
      </c>
      <c r="AB127" s="17"/>
      <c r="AC127" s="17"/>
      <c r="AD127" s="17"/>
      <c r="AE127" s="17"/>
    </row>
    <row r="128" spans="1:31" ht="35.25" customHeight="1">
      <c r="A128" s="21" t="s">
        <v>2286</v>
      </c>
      <c r="B128" s="53" t="s">
        <v>2287</v>
      </c>
      <c r="C128" s="17" t="s">
        <v>2288</v>
      </c>
      <c r="D128" s="17" t="s">
        <v>1308</v>
      </c>
      <c r="E128" s="17" t="str" cm="1">
        <f t="array" ref="E128">IF($F128="Information Disclosure",Formatação!H$5,IF($F128="Repudiation",Formatação!H$4,IF($F128="Spoofing",Formatação!H$2,IF($F128="Tampering",Formatação!H$3, IF($F128="Denial of Service",Formatação!H$6,IF($F128="Elevation of Privilege",Formatação!H$7,IF($F128="Lateral Movement",Formatação!H$8,Errado)))))))</f>
        <v>Integridade</v>
      </c>
      <c r="F128" s="17" t="s">
        <v>25</v>
      </c>
      <c r="G128" s="17" t="str" cm="1">
        <f t="array" ref="G128">IF($F128="Information Disclosure",Formatação!J$5,IF($F128="Repudiation",Formatação!J$4,IF($F128="Spoofing",Formatação!J$2,IF($F128="Tampering",Formatação!J$3, IF($F128="Denial of Service",Formatação!J$6,IF($F128="Elevation of Privilege",Formatação!J$7,IF($F128="Lateral Movement",Formatação!J$8,Errado)))))))</f>
        <v>Danos a imagem</v>
      </c>
      <c r="H128" s="17" t="s">
        <v>26</v>
      </c>
      <c r="I128" s="17" t="s">
        <v>425</v>
      </c>
      <c r="J128" s="17" t="s">
        <v>357</v>
      </c>
      <c r="K128" s="17" t="s">
        <v>847</v>
      </c>
      <c r="L128" s="17" t="s">
        <v>847</v>
      </c>
      <c r="M128" s="17" t="s">
        <v>847</v>
      </c>
      <c r="N128" s="17" t="s">
        <v>847</v>
      </c>
      <c r="O128" s="17" t="s">
        <v>848</v>
      </c>
      <c r="P128" s="17" t="s">
        <v>848</v>
      </c>
      <c r="Q128" s="17" t="s">
        <v>848</v>
      </c>
      <c r="R128" s="17" t="s">
        <v>848</v>
      </c>
      <c r="S128" s="17" t="s">
        <v>848</v>
      </c>
      <c r="T128" s="17" t="s">
        <v>848</v>
      </c>
      <c r="U128" s="17" t="s">
        <v>848</v>
      </c>
      <c r="V128" s="17" t="s">
        <v>848</v>
      </c>
      <c r="W128" s="17">
        <f t="shared" si="6"/>
        <v>24</v>
      </c>
      <c r="X128" s="17" t="str">
        <f t="shared" si="7"/>
        <v>Crítico</v>
      </c>
      <c r="Y128" s="17" t="s">
        <v>851</v>
      </c>
      <c r="Z128" s="17" t="s">
        <v>2289</v>
      </c>
      <c r="AA128" s="17" t="s">
        <v>2290</v>
      </c>
      <c r="AB128" s="17"/>
      <c r="AC128" s="17"/>
      <c r="AD128" s="17"/>
      <c r="AE128" s="17"/>
    </row>
    <row r="129" spans="1:31" ht="35.25" customHeight="1">
      <c r="A129" s="21" t="s">
        <v>2291</v>
      </c>
      <c r="B129" s="53" t="s">
        <v>2292</v>
      </c>
      <c r="C129" s="17" t="s">
        <v>904</v>
      </c>
      <c r="D129" s="17" t="s">
        <v>252</v>
      </c>
      <c r="E129" s="17" t="str" cm="1">
        <f t="array" ref="E129">IF($F129="Information Disclosure",Formatação!H$5,IF($F129="Repudiation",Formatação!H$4,IF($F129="Spoofing",Formatação!H$2,IF($F129="Tampering",Formatação!H$3, IF($F129="Denial of Service",Formatação!H$6,IF($F129="Elevation of Privilege",Formatação!H$7,IF($F129="Lateral Movement",Formatação!H$8,Errado)))))))</f>
        <v>Confidencialidade</v>
      </c>
      <c r="F129" s="17" t="s">
        <v>35</v>
      </c>
      <c r="G129" s="17" t="str" cm="1">
        <f t="array" ref="G129">IF($F129="Information Disclosure",Formatação!J$5,IF($F129="Repudiation",Formatação!J$4,IF($F129="Spoofing",Formatação!J$2,IF($F129="Tampering",Formatação!J$3, IF($F129="Denial of Service",Formatação!J$6,IF($F129="Elevation of Privilege",Formatação!J$7,IF($F129="Lateral Movement",Formatação!J$8,Errado)))))))</f>
        <v>Vazamento de dados</v>
      </c>
      <c r="H129" s="17" t="s">
        <v>244</v>
      </c>
      <c r="I129" s="17" t="s">
        <v>231</v>
      </c>
      <c r="J129" s="17" t="s">
        <v>232</v>
      </c>
      <c r="K129" s="17" t="s">
        <v>847</v>
      </c>
      <c r="L129" s="17" t="s">
        <v>847</v>
      </c>
      <c r="M129" s="17" t="s">
        <v>847</v>
      </c>
      <c r="N129" s="17" t="s">
        <v>1293</v>
      </c>
      <c r="O129" s="17" t="s">
        <v>848</v>
      </c>
      <c r="P129" s="17" t="s">
        <v>849</v>
      </c>
      <c r="Q129" s="17" t="s">
        <v>848</v>
      </c>
      <c r="R129" s="17" t="s">
        <v>848</v>
      </c>
      <c r="S129" s="17" t="s">
        <v>848</v>
      </c>
      <c r="T129" s="17" t="s">
        <v>848</v>
      </c>
      <c r="U129" s="17" t="s">
        <v>848</v>
      </c>
      <c r="V129" s="17" t="s">
        <v>850</v>
      </c>
      <c r="W129" s="17">
        <f t="shared" si="6"/>
        <v>22</v>
      </c>
      <c r="X129" s="17" t="str">
        <f t="shared" si="7"/>
        <v>Crítico</v>
      </c>
      <c r="Y129" s="17" t="s">
        <v>2144</v>
      </c>
      <c r="Z129" s="17" t="e" vm="1">
        <f>VLOOKUP(Tabela7[[#This Row],[Controle]],[1]!Tabela135[#Data],33,FALSE)</f>
        <v>#REF!</v>
      </c>
      <c r="AA129" s="17" t="e" vm="1">
        <f>VLOOKUP(Tabela7[[#This Row],[Controle]],[1]!Tabela135[#Data],34,FALSE)</f>
        <v>#REF!</v>
      </c>
      <c r="AB129" s="17" t="s">
        <v>854</v>
      </c>
      <c r="AC129" s="17"/>
      <c r="AD129" s="17"/>
      <c r="AE129" s="17"/>
    </row>
    <row r="130" spans="1:31" ht="35.25" customHeight="1">
      <c r="A130" s="21" t="s">
        <v>2293</v>
      </c>
      <c r="B130" s="53" t="s">
        <v>2294</v>
      </c>
      <c r="C130" s="17" t="s">
        <v>661</v>
      </c>
      <c r="D130" s="17" t="s">
        <v>252</v>
      </c>
      <c r="E130" s="17" t="str" cm="1">
        <f t="array" ref="E130">IF($F130="Information Disclosure",Formatação!H$5,IF($F130="Repudiation",Formatação!H$4,IF($F130="Spoofing",Formatação!H$2,IF($F130="Tampering",Formatação!H$3, IF($F130="Denial of Service",Formatação!H$6,IF($F130="Elevation of Privilege",Formatação!H$7,IF($F130="Lateral Movement",Formatação!H$8,Errado)))))))</f>
        <v>Disponibilidade</v>
      </c>
      <c r="F130" s="17" t="s">
        <v>239</v>
      </c>
      <c r="G130" s="17" t="str" cm="1">
        <f t="array" ref="G130">IF($F130="Information Disclosure",Formatação!J$5,IF($F130="Repudiation",Formatação!J$4,IF($F130="Spoofing",Formatação!J$2,IF($F130="Tampering",Formatação!J$3, IF($F130="Denial of Service",Formatação!J$6,IF($F130="Elevation of Privilege",Formatação!J$7,IF($F130="Lateral Movement",Formatação!J$8,Errado)))))))</f>
        <v>Indisponibilidade</v>
      </c>
      <c r="H130" s="17" t="s">
        <v>14</v>
      </c>
      <c r="I130" s="17" t="s">
        <v>943</v>
      </c>
      <c r="J130" s="17" t="s">
        <v>232</v>
      </c>
      <c r="K130" s="17" t="s">
        <v>847</v>
      </c>
      <c r="L130" s="17" t="s">
        <v>847</v>
      </c>
      <c r="M130" s="17" t="s">
        <v>847</v>
      </c>
      <c r="N130" s="17" t="s">
        <v>1293</v>
      </c>
      <c r="O130" s="17" t="s">
        <v>849</v>
      </c>
      <c r="P130" s="17" t="s">
        <v>849</v>
      </c>
      <c r="Q130" s="17" t="s">
        <v>848</v>
      </c>
      <c r="R130" s="17" t="s">
        <v>849</v>
      </c>
      <c r="S130" s="17" t="s">
        <v>849</v>
      </c>
      <c r="T130" s="17" t="s">
        <v>849</v>
      </c>
      <c r="U130" s="17" t="s">
        <v>849</v>
      </c>
      <c r="V130" s="17" t="s">
        <v>850</v>
      </c>
      <c r="W130" s="17">
        <f t="shared" ref="W130:W135" si="8">SUM(
  IF($O130 = "Impacto direto", 3, IF($O130 = "Impacto indireto", 2, 0)),
  IF($P130 = "Impacto direto", 3, IF($P130 = "Impacto indireto", 2, 0)),
  IF($Q130 = "Impacto direto", 3, IF($Q130 = "Impacto indireto", 2, 0)),
  IF($R130 = "Impacto direto", 3, IF($R130 = "Impacto indireto", 2, 0)),
  IF($S130 = "Impacto direto", 3, IF($S130 = "Impacto indireto", 2, 0)),
  IF($T130 = "Impacto direto", 3, IF($T130 = "Impacto indireto", 2, 0)),
  IF($U130 = "Impacto direto", 3, IF($U130 = "Impacto indireto", 2, 0)),
  IF($V130 = "Impacto direto", 3, IF($V130 = "Impacto indireto", 2, 0))
)</f>
        <v>17</v>
      </c>
      <c r="X130" s="17" t="str">
        <f t="shared" ref="X130:X135" si="9">IF($W130&lt;=5, "Leve", IF($W130&lt;=8, "Baixo", IF($W130&lt;=14, "Moderado", IF($W130&lt;=18, "Alto", IF($W130&lt;=24, "Crítico", "ERRO")))))</f>
        <v>Alto</v>
      </c>
      <c r="Y130" s="17" t="s">
        <v>851</v>
      </c>
      <c r="Z130" s="17" t="s">
        <v>2295</v>
      </c>
      <c r="AA130" s="17" t="s">
        <v>2296</v>
      </c>
      <c r="AB130" s="17" t="s">
        <v>1005</v>
      </c>
      <c r="AC130" s="17"/>
      <c r="AD130" s="17"/>
      <c r="AE130" s="17"/>
    </row>
    <row r="131" spans="1:31" ht="35.25" customHeight="1">
      <c r="A131" s="21" t="s">
        <v>2297</v>
      </c>
      <c r="B131" s="53" t="s">
        <v>2298</v>
      </c>
      <c r="C131" s="17" t="s">
        <v>663</v>
      </c>
      <c r="D131" s="17" t="s">
        <v>252</v>
      </c>
      <c r="E131" s="17" t="str" cm="1">
        <f t="array" ref="E131">IF($F131="Information Disclosure",Formatação!H$5,IF($F131="Repudiation",Formatação!H$4,IF($F131="Spoofing",Formatação!H$2,IF($F131="Tampering",Formatação!H$3, IF($F131="Denial of Service",Formatação!H$6,IF($F131="Elevation of Privilege",Formatação!H$7,IF($F131="Lateral Movement",Formatação!H$8,Errado)))))))</f>
        <v>Disponibilidade</v>
      </c>
      <c r="F131" s="17" t="s">
        <v>239</v>
      </c>
      <c r="G131" s="17" t="str" cm="1">
        <f t="array" ref="G131">IF($F131="Information Disclosure",Formatação!J$5,IF($F131="Repudiation",Formatação!J$4,IF($F131="Spoofing",Formatação!J$2,IF($F131="Tampering",Formatação!J$3, IF($F131="Denial of Service",Formatação!J$6,IF($F131="Elevation of Privilege",Formatação!J$7,IF($F131="Lateral Movement",Formatação!J$8,Errado)))))))</f>
        <v>Indisponibilidade</v>
      </c>
      <c r="H131" s="17" t="s">
        <v>14</v>
      </c>
      <c r="I131" s="17" t="s">
        <v>943</v>
      </c>
      <c r="J131" s="17" t="s">
        <v>232</v>
      </c>
      <c r="K131" s="17" t="s">
        <v>847</v>
      </c>
      <c r="L131" s="17" t="s">
        <v>847</v>
      </c>
      <c r="M131" s="17" t="s">
        <v>847</v>
      </c>
      <c r="N131" s="17" t="s">
        <v>1293</v>
      </c>
      <c r="O131" s="17" t="s">
        <v>849</v>
      </c>
      <c r="P131" s="17" t="s">
        <v>849</v>
      </c>
      <c r="Q131" s="17" t="s">
        <v>848</v>
      </c>
      <c r="R131" s="17" t="s">
        <v>849</v>
      </c>
      <c r="S131" s="17" t="s">
        <v>849</v>
      </c>
      <c r="T131" s="17" t="s">
        <v>849</v>
      </c>
      <c r="U131" s="17" t="s">
        <v>849</v>
      </c>
      <c r="V131" s="17" t="s">
        <v>850</v>
      </c>
      <c r="W131" s="17">
        <f t="shared" si="8"/>
        <v>17</v>
      </c>
      <c r="X131" s="17" t="str">
        <f t="shared" si="9"/>
        <v>Alto</v>
      </c>
      <c r="Y131" s="17" t="s">
        <v>2144</v>
      </c>
      <c r="Z131" s="17" t="s">
        <v>2295</v>
      </c>
      <c r="AA131" s="17" t="s">
        <v>2296</v>
      </c>
      <c r="AB131" s="17" t="s">
        <v>1005</v>
      </c>
      <c r="AC131" s="17"/>
      <c r="AD131" s="17"/>
      <c r="AE131" s="17"/>
    </row>
    <row r="132" spans="1:31" ht="35.25" customHeight="1">
      <c r="A132" s="21" t="s">
        <v>2299</v>
      </c>
      <c r="B132" s="53" t="s">
        <v>2300</v>
      </c>
      <c r="C132" s="17" t="s">
        <v>665</v>
      </c>
      <c r="D132" s="17" t="s">
        <v>252</v>
      </c>
      <c r="E132" s="17" t="str" cm="1">
        <f t="array" ref="E132">IF($F132="Information Disclosure",Formatação!H$5,IF($F132="Repudiation",Formatação!H$4,IF($F132="Spoofing",Formatação!H$2,IF($F132="Tampering",Formatação!H$3, IF($F132="Denial of Service",Formatação!H$6,IF($F132="Elevation of Privilege",Formatação!H$7,IF($F132="Lateral Movement",Formatação!H$8,Errado)))))))</f>
        <v>Não repúdio</v>
      </c>
      <c r="F132" s="17" t="s">
        <v>32</v>
      </c>
      <c r="G132" s="17" t="str" cm="1">
        <f t="array" ref="G132">IF($F132="Information Disclosure",Formatação!J$5,IF($F132="Repudiation",Formatação!J$4,IF($F132="Spoofing",Formatação!J$2,IF($F132="Tampering",Formatação!J$3, IF($F132="Denial of Service",Formatação!J$6,IF($F132="Elevation of Privilege",Formatação!J$7,IF($F132="Lateral Movement",Formatação!J$8,Errado)))))))</f>
        <v>Regulatório/Compliance</v>
      </c>
      <c r="H132" s="17" t="s">
        <v>375</v>
      </c>
      <c r="I132" s="17" t="s">
        <v>943</v>
      </c>
      <c r="J132" s="17" t="s">
        <v>232</v>
      </c>
      <c r="K132" s="17" t="s">
        <v>847</v>
      </c>
      <c r="L132" s="17" t="s">
        <v>847</v>
      </c>
      <c r="M132" s="17" t="s">
        <v>847</v>
      </c>
      <c r="N132" s="17" t="s">
        <v>1293</v>
      </c>
      <c r="O132" s="17" t="s">
        <v>849</v>
      </c>
      <c r="P132" s="17" t="s">
        <v>849</v>
      </c>
      <c r="Q132" s="17" t="s">
        <v>2155</v>
      </c>
      <c r="R132" s="17" t="s">
        <v>849</v>
      </c>
      <c r="S132" s="17" t="s">
        <v>849</v>
      </c>
      <c r="T132" s="17" t="s">
        <v>849</v>
      </c>
      <c r="U132" s="17" t="s">
        <v>849</v>
      </c>
      <c r="V132" s="17" t="s">
        <v>850</v>
      </c>
      <c r="W132" s="17">
        <f t="shared" si="8"/>
        <v>16</v>
      </c>
      <c r="X132" s="17" t="str">
        <f t="shared" si="9"/>
        <v>Alto</v>
      </c>
      <c r="Y132" s="17" t="s">
        <v>851</v>
      </c>
      <c r="Z132" s="17" t="e" vm="1">
        <f>VLOOKUP(Tabela7[[#This Row],[Controle]],[1]!Tabela135[#Data],33,FALSE)</f>
        <v>#REF!</v>
      </c>
      <c r="AA132" s="17" t="e" vm="1">
        <f>VLOOKUP(Tabela7[[#This Row],[Controle]],[1]!Tabela135[#Data],34,FALSE)</f>
        <v>#REF!</v>
      </c>
      <c r="AB132" s="17" t="s">
        <v>1005</v>
      </c>
      <c r="AC132" s="17"/>
      <c r="AD132" s="17"/>
      <c r="AE132" s="17"/>
    </row>
    <row r="133" spans="1:31" ht="35.25" customHeight="1">
      <c r="A133" s="21" t="s">
        <v>2301</v>
      </c>
      <c r="B133" s="53" t="s">
        <v>1012</v>
      </c>
      <c r="C133" s="17" t="s">
        <v>667</v>
      </c>
      <c r="D133" s="17" t="s">
        <v>252</v>
      </c>
      <c r="E133" s="17" t="str" cm="1">
        <f t="array" ref="E133">IF($F133="Information Disclosure",Formatação!H$5,IF($F133="Repudiation",Formatação!H$4,IF($F133="Spoofing",Formatação!H$2,IF($F133="Tampering",Formatação!H$3, IF($F133="Denial of Service",Formatação!H$6,IF($F133="Elevation of Privilege",Formatação!H$7,IF($F133="Lateral Movement",Formatação!H$8,Errado)))))))</f>
        <v>Autorização</v>
      </c>
      <c r="F133" s="17" t="s">
        <v>22</v>
      </c>
      <c r="G133" s="17" t="str" cm="1">
        <f t="array" ref="G133">IF($F133="Information Disclosure",Formatação!J$5,IF($F133="Repudiation",Formatação!J$4,IF($F133="Spoofing",Formatação!J$2,IF($F133="Tampering",Formatação!J$3, IF($F133="Denial of Service",Formatação!J$6,IF($F133="Elevation of Privilege",Formatação!J$7,IF($F133="Lateral Movement",Formatação!J$8,Errado)))))))</f>
        <v>Danos financeiros/Vazamento de dados</v>
      </c>
      <c r="H133" s="17" t="s">
        <v>244</v>
      </c>
      <c r="I133" s="17" t="s">
        <v>943</v>
      </c>
      <c r="J133" s="17" t="s">
        <v>232</v>
      </c>
      <c r="K133" s="17" t="s">
        <v>847</v>
      </c>
      <c r="L133" s="17" t="s">
        <v>847</v>
      </c>
      <c r="M133" s="17" t="s">
        <v>847</v>
      </c>
      <c r="N133" s="17" t="s">
        <v>1293</v>
      </c>
      <c r="O133" s="17" t="s">
        <v>849</v>
      </c>
      <c r="P133" s="17" t="s">
        <v>849</v>
      </c>
      <c r="Q133" s="17" t="s">
        <v>848</v>
      </c>
      <c r="R133" s="17" t="s">
        <v>849</v>
      </c>
      <c r="S133" s="17" t="s">
        <v>849</v>
      </c>
      <c r="T133" s="17" t="s">
        <v>849</v>
      </c>
      <c r="U133" s="17" t="s">
        <v>849</v>
      </c>
      <c r="V133" s="17" t="s">
        <v>850</v>
      </c>
      <c r="W133" s="17">
        <f t="shared" si="8"/>
        <v>17</v>
      </c>
      <c r="X133" s="17" t="str">
        <f t="shared" si="9"/>
        <v>Alto</v>
      </c>
      <c r="Y133" s="17" t="s">
        <v>2144</v>
      </c>
      <c r="Z133" s="17" t="s">
        <v>2295</v>
      </c>
      <c r="AA133" s="17" t="s">
        <v>2296</v>
      </c>
      <c r="AB133" s="17" t="s">
        <v>1005</v>
      </c>
      <c r="AC133" s="17"/>
      <c r="AD133" s="17"/>
      <c r="AE133" s="17"/>
    </row>
    <row r="134" spans="1:31" ht="35.25" customHeight="1">
      <c r="A134" s="21" t="s">
        <v>2302</v>
      </c>
      <c r="B134" s="53" t="s">
        <v>670</v>
      </c>
      <c r="C134" s="17" t="s">
        <v>671</v>
      </c>
      <c r="D134" s="17" t="s">
        <v>252</v>
      </c>
      <c r="E134" s="17" t="str" cm="1">
        <f t="array" ref="E134">IF($F134="Information Disclosure",Formatação!H$5,IF($F134="Repudiation",Formatação!H$4,IF($F134="Spoofing",Formatação!H$2,IF($F134="Tampering",Formatação!H$3, IF($F134="Denial of Service",Formatação!H$6,IF($F134="Elevation of Privilege",Formatação!H$7,IF($F134="Lateral Movement",Formatação!H$8,Errado)))))))</f>
        <v>Autorização</v>
      </c>
      <c r="F134" s="17" t="s">
        <v>22</v>
      </c>
      <c r="G134" s="17" t="str" cm="1">
        <f t="array" ref="G134">IF($F134="Information Disclosure",Formatação!J$5,IF($F134="Repudiation",Formatação!J$4,IF($F134="Spoofing",Formatação!J$2,IF($F134="Tampering",Formatação!J$3, IF($F134="Denial of Service",Formatação!J$6,IF($F134="Elevation of Privilege",Formatação!J$7,IF($F134="Lateral Movement",Formatação!J$8,Errado)))))))</f>
        <v>Danos financeiros/Vazamento de dados</v>
      </c>
      <c r="H134" s="17" t="s">
        <v>14</v>
      </c>
      <c r="I134" s="17" t="s">
        <v>943</v>
      </c>
      <c r="J134" s="17" t="s">
        <v>232</v>
      </c>
      <c r="K134" s="17" t="s">
        <v>847</v>
      </c>
      <c r="L134" s="17" t="s">
        <v>847</v>
      </c>
      <c r="M134" s="17" t="s">
        <v>847</v>
      </c>
      <c r="N134" s="17" t="s">
        <v>1293</v>
      </c>
      <c r="O134" s="17" t="s">
        <v>849</v>
      </c>
      <c r="P134" s="17" t="s">
        <v>848</v>
      </c>
      <c r="Q134" s="17" t="s">
        <v>848</v>
      </c>
      <c r="R134" s="17" t="s">
        <v>849</v>
      </c>
      <c r="S134" s="17" t="s">
        <v>849</v>
      </c>
      <c r="T134" s="17" t="s">
        <v>849</v>
      </c>
      <c r="U134" s="17" t="s">
        <v>849</v>
      </c>
      <c r="V134" s="17" t="s">
        <v>848</v>
      </c>
      <c r="W134" s="17">
        <f t="shared" si="8"/>
        <v>19</v>
      </c>
      <c r="X134" s="17" t="str">
        <f t="shared" si="9"/>
        <v>Crítico</v>
      </c>
      <c r="Y134" s="17" t="s">
        <v>851</v>
      </c>
      <c r="Z134" s="17" t="e" vm="1">
        <f>VLOOKUP(Tabela7[[#This Row],[Controle]],[1]!Tabela135[#Data],33,FALSE)</f>
        <v>#REF!</v>
      </c>
      <c r="AA134" s="17" t="e" vm="1">
        <f>VLOOKUP(Tabela7[[#This Row],[Controle]],[1]!Tabela135[#Data],34,FALSE)</f>
        <v>#REF!</v>
      </c>
      <c r="AB134" s="17" t="s">
        <v>1005</v>
      </c>
      <c r="AC134" s="17"/>
      <c r="AD134" s="17"/>
      <c r="AE134" s="17"/>
    </row>
    <row r="135" spans="1:31" ht="35.25" customHeight="1">
      <c r="A135" s="21" t="s">
        <v>2303</v>
      </c>
      <c r="B135" s="53" t="s">
        <v>2304</v>
      </c>
      <c r="C135" s="17" t="s">
        <v>673</v>
      </c>
      <c r="D135" s="17" t="s">
        <v>252</v>
      </c>
      <c r="E135" s="17" t="str" cm="1">
        <f t="array" ref="E135">IF($F135="Information Disclosure",Formatação!H$5,IF($F135="Repudiation",Formatação!H$4,IF($F135="Spoofing",Formatação!H$2,IF($F135="Tampering",Formatação!H$3, IF($F135="Denial of Service",Formatação!H$6,IF($F135="Elevation of Privilege",Formatação!H$7,IF($F135="Lateral Movement",Formatação!H$8,Errado)))))))</f>
        <v>Autorização</v>
      </c>
      <c r="F135" s="17" t="s">
        <v>22</v>
      </c>
      <c r="G135" s="17" t="str" cm="1">
        <f t="array" ref="G135">IF($F135="Information Disclosure",Formatação!J$5,IF($F135="Repudiation",Formatação!J$4,IF($F135="Spoofing",Formatação!J$2,IF($F135="Tampering",Formatação!J$3, IF($F135="Denial of Service",Formatação!J$6,IF($F135="Elevation of Privilege",Formatação!J$7,IF($F135="Lateral Movement",Formatação!J$8,Errado)))))))</f>
        <v>Danos financeiros/Vazamento de dados</v>
      </c>
      <c r="H135" s="17" t="s">
        <v>14</v>
      </c>
      <c r="I135" s="17" t="s">
        <v>943</v>
      </c>
      <c r="J135" s="17" t="s">
        <v>232</v>
      </c>
      <c r="K135" s="17" t="s">
        <v>847</v>
      </c>
      <c r="L135" s="17" t="s">
        <v>847</v>
      </c>
      <c r="M135" s="17" t="s">
        <v>847</v>
      </c>
      <c r="N135" s="17" t="s">
        <v>1293</v>
      </c>
      <c r="O135" s="17" t="s">
        <v>849</v>
      </c>
      <c r="P135" s="17" t="s">
        <v>848</v>
      </c>
      <c r="Q135" s="17" t="s">
        <v>848</v>
      </c>
      <c r="R135" s="17" t="s">
        <v>849</v>
      </c>
      <c r="S135" s="17" t="s">
        <v>849</v>
      </c>
      <c r="T135" s="17" t="s">
        <v>849</v>
      </c>
      <c r="U135" s="17" t="s">
        <v>849</v>
      </c>
      <c r="V135" s="17" t="s">
        <v>850</v>
      </c>
      <c r="W135" s="17">
        <f t="shared" si="8"/>
        <v>18</v>
      </c>
      <c r="X135" s="17" t="str">
        <f t="shared" si="9"/>
        <v>Alto</v>
      </c>
      <c r="Y135" s="17" t="s">
        <v>851</v>
      </c>
      <c r="Z135" s="17" t="e" vm="1">
        <f>VLOOKUP(Tabela7[[#This Row],[Controle]],[1]!Tabela135[#Data],33,FALSE)</f>
        <v>#REF!</v>
      </c>
      <c r="AA135" s="17" t="e" vm="1">
        <f>VLOOKUP(Tabela7[[#This Row],[Controle]],[1]!Tabela135[#Data],34,FALSE)</f>
        <v>#REF!</v>
      </c>
      <c r="AB135" s="17" t="s">
        <v>1005</v>
      </c>
      <c r="AC135" s="17"/>
      <c r="AD135" s="17"/>
      <c r="AE135" s="17"/>
    </row>
    <row r="136" spans="1:31" ht="35.25" customHeight="1">
      <c r="A136" s="21" t="s">
        <v>2305</v>
      </c>
      <c r="B136" s="53" t="s">
        <v>674</v>
      </c>
      <c r="C136" s="17" t="s">
        <v>675</v>
      </c>
      <c r="D136" s="17" t="s">
        <v>252</v>
      </c>
      <c r="E136" s="17" t="str" cm="1">
        <f t="array" ref="E136">IF($F136="Information Disclosure",Formatação!H$5,IF($F136="Repudiation",Formatação!H$4,IF($F136="Spoofing",Formatação!H$2,IF($F136="Tampering",Formatação!H$3, IF($F136="Denial of Service",Formatação!H$6,IF($F136="Elevation of Privilege",Formatação!H$7,IF($F136="Lateral Movement",Formatação!H$8,Errado)))))))</f>
        <v>Autorização</v>
      </c>
      <c r="F136" s="17" t="s">
        <v>22</v>
      </c>
      <c r="G136" s="17" t="str" cm="1">
        <f t="array" ref="G136">IF($F136="Information Disclosure",Formatação!J$5,IF($F136="Repudiation",Formatação!J$4,IF($F136="Spoofing",Formatação!J$2,IF($F136="Tampering",Formatação!J$3, IF($F136="Denial of Service",Formatação!J$6,IF($F136="Elevation of Privilege",Formatação!J$7,IF($F136="Lateral Movement",Formatação!J$8,Errado)))))))</f>
        <v>Danos financeiros/Vazamento de dados</v>
      </c>
      <c r="H136" s="17" t="s">
        <v>14</v>
      </c>
      <c r="I136" s="17" t="s">
        <v>943</v>
      </c>
      <c r="J136" s="17" t="s">
        <v>232</v>
      </c>
      <c r="K136" s="17" t="s">
        <v>847</v>
      </c>
      <c r="L136" s="17" t="s">
        <v>847</v>
      </c>
      <c r="M136" s="17" t="s">
        <v>847</v>
      </c>
      <c r="N136" s="17" t="s">
        <v>1293</v>
      </c>
      <c r="O136" s="17" t="s">
        <v>849</v>
      </c>
      <c r="P136" s="17" t="s">
        <v>848</v>
      </c>
      <c r="Q136" s="17" t="s">
        <v>848</v>
      </c>
      <c r="R136" s="17" t="s">
        <v>849</v>
      </c>
      <c r="S136" s="17" t="s">
        <v>849</v>
      </c>
      <c r="T136" s="17" t="s">
        <v>849</v>
      </c>
      <c r="U136" s="17" t="s">
        <v>849</v>
      </c>
      <c r="V136" s="17" t="s">
        <v>850</v>
      </c>
      <c r="W136" s="17">
        <f t="shared" ref="W136:W199" si="10">SUM(
  IF($O136 = "Impacto direto", 3, IF($O136 = "Impacto indireto", 2, 0)),
  IF($P136 = "Impacto direto", 3, IF($P136 = "Impacto indireto", 2, 0)),
  IF($Q136 = "Impacto direto", 3, IF($Q136 = "Impacto indireto", 2, 0)),
  IF($R136 = "Impacto direto", 3, IF($R136 = "Impacto indireto", 2, 0)),
  IF($S136 = "Impacto direto", 3, IF($S136 = "Impacto indireto", 2, 0)),
  IF($T136 = "Impacto direto", 3, IF($T136 = "Impacto indireto", 2, 0)),
  IF($U136 = "Impacto direto", 3, IF($U136 = "Impacto indireto", 2, 0)),
  IF($V136 = "Impacto direto", 3, IF($V136 = "Impacto indireto", 2, 0))
)</f>
        <v>18</v>
      </c>
      <c r="X136" s="17" t="str">
        <f t="shared" ref="X136:X199" si="11">IF($W136&lt;=5, "Leve", IF($W136&lt;=8, "Baixo", IF($W136&lt;=14, "Moderado", IF($W136&lt;=18, "Alto", IF($W136&lt;=24, "Crítico", "ERRO")))))</f>
        <v>Alto</v>
      </c>
      <c r="Y136" s="17" t="s">
        <v>851</v>
      </c>
      <c r="Z136" s="17" t="s">
        <v>2295</v>
      </c>
      <c r="AA136" s="17" t="s">
        <v>2306</v>
      </c>
      <c r="AB136" s="17" t="s">
        <v>1005</v>
      </c>
      <c r="AC136" s="17"/>
      <c r="AD136" s="17"/>
      <c r="AE136" s="17"/>
    </row>
    <row r="137" spans="1:31" ht="35.25" customHeight="1">
      <c r="A137" s="21" t="s">
        <v>2307</v>
      </c>
      <c r="B137" s="53" t="s">
        <v>676</v>
      </c>
      <c r="C137" s="17" t="s">
        <v>677</v>
      </c>
      <c r="D137" s="17" t="s">
        <v>252</v>
      </c>
      <c r="E137" s="17" t="str" cm="1">
        <f t="array" ref="E137">IF($F137="Information Disclosure",Formatação!H$5,IF($F137="Repudiation",Formatação!H$4,IF($F137="Spoofing",Formatação!H$2,IF($F137="Tampering",Formatação!H$3, IF($F137="Denial of Service",Formatação!H$6,IF($F137="Elevation of Privilege",Formatação!H$7,IF($F137="Lateral Movement",Formatação!H$8,Errado)))))))</f>
        <v>Confidencialidade</v>
      </c>
      <c r="F137" s="17" t="s">
        <v>35</v>
      </c>
      <c r="G137" s="17" t="str" cm="1">
        <f t="array" ref="G137">IF($F137="Information Disclosure",Formatação!J$5,IF($F137="Repudiation",Formatação!J$4,IF($F137="Spoofing",Formatação!J$2,IF($F137="Tampering",Formatação!J$3, IF($F137="Denial of Service",Formatação!J$6,IF($F137="Elevation of Privilege",Formatação!J$7,IF($F137="Lateral Movement",Formatação!J$8,Errado)))))))</f>
        <v>Vazamento de dados</v>
      </c>
      <c r="H137" s="17" t="s">
        <v>259</v>
      </c>
      <c r="I137" s="17" t="s">
        <v>943</v>
      </c>
      <c r="J137" s="17" t="s">
        <v>232</v>
      </c>
      <c r="K137" s="17" t="s">
        <v>847</v>
      </c>
      <c r="L137" s="17" t="s">
        <v>847</v>
      </c>
      <c r="M137" s="17" t="s">
        <v>847</v>
      </c>
      <c r="N137" s="17" t="s">
        <v>847</v>
      </c>
      <c r="O137" s="17" t="s">
        <v>848</v>
      </c>
      <c r="P137" s="17" t="s">
        <v>848</v>
      </c>
      <c r="Q137" s="17" t="s">
        <v>848</v>
      </c>
      <c r="R137" s="17" t="s">
        <v>849</v>
      </c>
      <c r="S137" s="17" t="s">
        <v>849</v>
      </c>
      <c r="T137" s="17" t="s">
        <v>849</v>
      </c>
      <c r="U137" s="17" t="s">
        <v>849</v>
      </c>
      <c r="V137" s="17" t="s">
        <v>848</v>
      </c>
      <c r="W137" s="17">
        <f t="shared" si="10"/>
        <v>20</v>
      </c>
      <c r="X137" s="17" t="str">
        <f t="shared" si="11"/>
        <v>Crítico</v>
      </c>
      <c r="Y137" s="17" t="s">
        <v>851</v>
      </c>
      <c r="Z137" s="17" t="s">
        <v>2295</v>
      </c>
      <c r="AA137" s="17" t="s">
        <v>2306</v>
      </c>
      <c r="AB137" s="17" t="s">
        <v>1005</v>
      </c>
      <c r="AC137" s="17"/>
      <c r="AD137" s="17"/>
      <c r="AE137" s="17"/>
    </row>
    <row r="138" spans="1:31" ht="35.25" customHeight="1">
      <c r="A138" s="21" t="s">
        <v>2308</v>
      </c>
      <c r="B138" s="53" t="s">
        <v>678</v>
      </c>
      <c r="C138" s="17" t="s">
        <v>679</v>
      </c>
      <c r="D138" s="17" t="s">
        <v>252</v>
      </c>
      <c r="E138" s="17" t="str" cm="1">
        <f t="array" ref="E138">IF($F138="Information Disclosure",Formatação!H$5,IF($F138="Repudiation",Formatação!H$4,IF($F138="Spoofing",Formatação!H$2,IF($F138="Tampering",Formatação!H$3, IF($F138="Denial of Service",Formatação!H$6,IF($F138="Elevation of Privilege",Formatação!H$7,IF($F138="Lateral Movement",Formatação!H$8,Errado)))))))</f>
        <v>Autenticação</v>
      </c>
      <c r="F138" s="17" t="s">
        <v>102</v>
      </c>
      <c r="G138" s="17" t="str" cm="1">
        <f t="array" ref="G138">IF($F138="Information Disclosure",Formatação!J$5,IF($F138="Repudiation",Formatação!J$4,IF($F138="Spoofing",Formatação!J$2,IF($F138="Tampering",Formatação!J$3, IF($F138="Denial of Service",Formatação!J$6,IF($F138="Elevation of Privilege",Formatação!J$7,IF($F138="Lateral Movement",Formatação!J$8,Errado)))))))</f>
        <v>Fraudes/Vazamento de dados</v>
      </c>
      <c r="H138" s="17" t="s">
        <v>23</v>
      </c>
      <c r="I138" s="17" t="s">
        <v>943</v>
      </c>
      <c r="J138" s="17" t="s">
        <v>232</v>
      </c>
      <c r="K138" s="17" t="s">
        <v>847</v>
      </c>
      <c r="L138" s="17" t="s">
        <v>847</v>
      </c>
      <c r="M138" s="17" t="s">
        <v>847</v>
      </c>
      <c r="N138" s="17" t="s">
        <v>847</v>
      </c>
      <c r="O138" s="17" t="s">
        <v>849</v>
      </c>
      <c r="P138" s="17" t="s">
        <v>848</v>
      </c>
      <c r="Q138" s="17" t="s">
        <v>848</v>
      </c>
      <c r="R138" s="17" t="s">
        <v>848</v>
      </c>
      <c r="S138" s="17" t="s">
        <v>848</v>
      </c>
      <c r="T138" s="17" t="s">
        <v>848</v>
      </c>
      <c r="U138" s="17" t="s">
        <v>848</v>
      </c>
      <c r="V138" s="17" t="s">
        <v>848</v>
      </c>
      <c r="W138" s="17">
        <f t="shared" si="10"/>
        <v>23</v>
      </c>
      <c r="X138" s="17" t="str">
        <f t="shared" si="11"/>
        <v>Crítico</v>
      </c>
      <c r="Y138" s="17" t="s">
        <v>851</v>
      </c>
      <c r="Z138" s="17" t="s">
        <v>2295</v>
      </c>
      <c r="AA138" s="17" t="s">
        <v>2306</v>
      </c>
      <c r="AB138" s="17" t="s">
        <v>1005</v>
      </c>
      <c r="AC138" s="17"/>
      <c r="AD138" s="17"/>
      <c r="AE138" s="17"/>
    </row>
    <row r="139" spans="1:31" ht="35.25" customHeight="1">
      <c r="A139" s="21" t="s">
        <v>2309</v>
      </c>
      <c r="B139" s="53" t="s">
        <v>286</v>
      </c>
      <c r="C139" s="17" t="s">
        <v>680</v>
      </c>
      <c r="D139" s="17" t="s">
        <v>252</v>
      </c>
      <c r="E139" s="17" t="str" cm="1">
        <f t="array" ref="E139">IF($F139="Information Disclosure",Formatação!H$5,IF($F139="Repudiation",Formatação!H$4,IF($F139="Spoofing",Formatação!H$2,IF($F139="Tampering",Formatação!H$3, IF($F139="Denial of Service",Formatação!H$6,IF($F139="Elevation of Privilege",Formatação!H$7,IF($F139="Lateral Movement",Formatação!H$8,Errado)))))))</f>
        <v>Autorização</v>
      </c>
      <c r="F139" s="17" t="s">
        <v>22</v>
      </c>
      <c r="G139" s="17" t="str" cm="1">
        <f t="array" ref="G139">IF($F139="Information Disclosure",Formatação!J$5,IF($F139="Repudiation",Formatação!J$4,IF($F139="Spoofing",Formatação!J$2,IF($F139="Tampering",Formatação!J$3, IF($F139="Denial of Service",Formatação!J$6,IF($F139="Elevation of Privilege",Formatação!J$7,IF($F139="Lateral Movement",Formatação!J$8,Errado)))))))</f>
        <v>Danos financeiros/Vazamento de dados</v>
      </c>
      <c r="H139" s="17" t="s">
        <v>26</v>
      </c>
      <c r="I139" s="17" t="s">
        <v>943</v>
      </c>
      <c r="J139" s="17" t="s">
        <v>232</v>
      </c>
      <c r="K139" s="17" t="s">
        <v>847</v>
      </c>
      <c r="L139" s="17" t="s">
        <v>847</v>
      </c>
      <c r="M139" s="17" t="s">
        <v>847</v>
      </c>
      <c r="N139" s="17" t="s">
        <v>1293</v>
      </c>
      <c r="O139" s="17" t="s">
        <v>848</v>
      </c>
      <c r="P139" s="17" t="s">
        <v>848</v>
      </c>
      <c r="Q139" s="17" t="s">
        <v>848</v>
      </c>
      <c r="R139" s="17" t="s">
        <v>849</v>
      </c>
      <c r="S139" s="17" t="s">
        <v>849</v>
      </c>
      <c r="T139" s="17" t="s">
        <v>849</v>
      </c>
      <c r="U139" s="17" t="s">
        <v>849</v>
      </c>
      <c r="V139" s="17" t="s">
        <v>848</v>
      </c>
      <c r="W139" s="17">
        <f t="shared" si="10"/>
        <v>20</v>
      </c>
      <c r="X139" s="17" t="str">
        <f t="shared" si="11"/>
        <v>Crítico</v>
      </c>
      <c r="Y139" s="17" t="s">
        <v>851</v>
      </c>
      <c r="Z139" s="17" t="s">
        <v>2185</v>
      </c>
      <c r="AA139" s="17" t="s">
        <v>2186</v>
      </c>
      <c r="AB139" s="17" t="s">
        <v>1005</v>
      </c>
      <c r="AC139" s="17"/>
      <c r="AD139" s="17"/>
      <c r="AE139" s="17"/>
    </row>
    <row r="140" spans="1:31" ht="35.25" customHeight="1">
      <c r="A140" s="21" t="s">
        <v>2310</v>
      </c>
      <c r="B140" s="53" t="s">
        <v>2311</v>
      </c>
      <c r="C140" s="17" t="s">
        <v>682</v>
      </c>
      <c r="D140" s="17" t="s">
        <v>252</v>
      </c>
      <c r="E140" s="17" t="str" cm="1">
        <f t="array" ref="E140">IF($F140="Information Disclosure",Formatação!H$5,IF($F140="Repudiation",Formatação!H$4,IF($F140="Spoofing",Formatação!H$2,IF($F140="Tampering",Formatação!H$3, IF($F140="Denial of Service",Formatação!H$6,IF($F140="Elevation of Privilege",Formatação!H$7,IF($F140="Lateral Movement",Formatação!H$8,Errado)))))))</f>
        <v>Disponibilidade</v>
      </c>
      <c r="F140" s="17" t="s">
        <v>239</v>
      </c>
      <c r="G140" s="17" t="str" cm="1">
        <f t="array" ref="G140">IF($F140="Information Disclosure",Formatação!J$5,IF($F140="Repudiation",Formatação!J$4,IF($F140="Spoofing",Formatação!J$2,IF($F140="Tampering",Formatação!J$3, IF($F140="Denial of Service",Formatação!J$6,IF($F140="Elevation of Privilege",Formatação!J$7,IF($F140="Lateral Movement",Formatação!J$8,Errado)))))))</f>
        <v>Indisponibilidade</v>
      </c>
      <c r="H140" s="17" t="s">
        <v>375</v>
      </c>
      <c r="I140" s="17" t="s">
        <v>943</v>
      </c>
      <c r="J140" s="17" t="s">
        <v>232</v>
      </c>
      <c r="K140" s="17" t="s">
        <v>847</v>
      </c>
      <c r="L140" s="17" t="s">
        <v>847</v>
      </c>
      <c r="M140" s="17" t="s">
        <v>847</v>
      </c>
      <c r="N140" s="17" t="s">
        <v>1293</v>
      </c>
      <c r="O140" s="17" t="s">
        <v>849</v>
      </c>
      <c r="P140" s="17" t="s">
        <v>849</v>
      </c>
      <c r="Q140" s="17" t="s">
        <v>2155</v>
      </c>
      <c r="R140" s="17" t="s">
        <v>849</v>
      </c>
      <c r="S140" s="17" t="s">
        <v>849</v>
      </c>
      <c r="T140" s="17" t="s">
        <v>849</v>
      </c>
      <c r="U140" s="17" t="s">
        <v>849</v>
      </c>
      <c r="V140" s="17" t="s">
        <v>848</v>
      </c>
      <c r="W140" s="17">
        <f t="shared" si="10"/>
        <v>17</v>
      </c>
      <c r="X140" s="17" t="str">
        <f t="shared" si="11"/>
        <v>Alto</v>
      </c>
      <c r="Y140" s="17" t="s">
        <v>851</v>
      </c>
      <c r="Z140" s="17" t="e" vm="1">
        <f>VLOOKUP(Tabela7[[#This Row],[Controle]],[1]!Tabela135[#Data],33,FALSE)</f>
        <v>#REF!</v>
      </c>
      <c r="AA140" s="17" t="e" vm="1">
        <f>VLOOKUP(Tabela7[[#This Row],[Controle]],[1]!Tabela135[#Data],34,FALSE)</f>
        <v>#REF!</v>
      </c>
      <c r="AB140" s="17" t="s">
        <v>1005</v>
      </c>
      <c r="AC140" s="17"/>
      <c r="AD140" s="17"/>
      <c r="AE140" s="17"/>
    </row>
    <row r="141" spans="1:31" ht="35.25" customHeight="1">
      <c r="A141" s="21" t="s">
        <v>2312</v>
      </c>
      <c r="B141" s="53" t="s">
        <v>687</v>
      </c>
      <c r="C141" s="17" t="s">
        <v>688</v>
      </c>
      <c r="D141" s="17" t="s">
        <v>252</v>
      </c>
      <c r="E141" s="17" t="str" cm="1">
        <f t="array" ref="E141">IF($F141="Information Disclosure",Formatação!H$5,IF($F141="Repudiation",Formatação!H$4,IF($F141="Spoofing",Formatação!H$2,IF($F141="Tampering",Formatação!H$3, IF($F141="Denial of Service",Formatação!H$6,IF($F141="Elevation of Privilege",Formatação!H$7,IF($F141="Lateral Movement",Formatação!H$8,Errado)))))))</f>
        <v>Disponibilidade</v>
      </c>
      <c r="F141" s="17" t="s">
        <v>239</v>
      </c>
      <c r="G141" s="17" t="str" cm="1">
        <f t="array" ref="G141">IF($F141="Information Disclosure",Formatação!J$5,IF($F141="Repudiation",Formatação!J$4,IF($F141="Spoofing",Formatação!J$2,IF($F141="Tampering",Formatação!J$3, IF($F141="Denial of Service",Formatação!J$6,IF($F141="Elevation of Privilege",Formatação!J$7,IF($F141="Lateral Movement",Formatação!J$8,Errado)))))))</f>
        <v>Indisponibilidade</v>
      </c>
      <c r="H141" s="17" t="s">
        <v>14</v>
      </c>
      <c r="I141" s="17" t="s">
        <v>943</v>
      </c>
      <c r="J141" s="17" t="s">
        <v>232</v>
      </c>
      <c r="K141" s="17" t="s">
        <v>847</v>
      </c>
      <c r="L141" s="17" t="s">
        <v>847</v>
      </c>
      <c r="M141" s="17" t="s">
        <v>847</v>
      </c>
      <c r="N141" s="17" t="s">
        <v>847</v>
      </c>
      <c r="O141" s="17" t="s">
        <v>849</v>
      </c>
      <c r="P141" s="17" t="s">
        <v>849</v>
      </c>
      <c r="Q141" s="17" t="s">
        <v>848</v>
      </c>
      <c r="R141" s="17" t="s">
        <v>849</v>
      </c>
      <c r="S141" s="17" t="s">
        <v>849</v>
      </c>
      <c r="T141" s="17" t="s">
        <v>849</v>
      </c>
      <c r="U141" s="17" t="s">
        <v>849</v>
      </c>
      <c r="V141" s="17" t="s">
        <v>849</v>
      </c>
      <c r="W141" s="17">
        <f t="shared" si="10"/>
        <v>17</v>
      </c>
      <c r="X141" s="17" t="str">
        <f t="shared" si="11"/>
        <v>Alto</v>
      </c>
      <c r="Y141" s="17" t="s">
        <v>851</v>
      </c>
      <c r="Z141" s="17" t="s">
        <v>2193</v>
      </c>
      <c r="AA141" s="17" t="s">
        <v>2160</v>
      </c>
      <c r="AB141" s="17" t="s">
        <v>1005</v>
      </c>
      <c r="AC141" s="17"/>
      <c r="AD141" s="17"/>
      <c r="AE141" s="17"/>
    </row>
    <row r="142" spans="1:31" ht="35.25" customHeight="1">
      <c r="A142" s="21" t="s">
        <v>2313</v>
      </c>
      <c r="B142" s="53" t="s">
        <v>689</v>
      </c>
      <c r="C142" s="17" t="s">
        <v>690</v>
      </c>
      <c r="D142" s="17" t="s">
        <v>252</v>
      </c>
      <c r="E142" s="17" t="str" cm="1">
        <f t="array" ref="E142">IF($F142="Information Disclosure",Formatação!H$5,IF($F142="Repudiation",Formatação!H$4,IF($F142="Spoofing",Formatação!H$2,IF($F142="Tampering",Formatação!H$3, IF($F142="Denial of Service",Formatação!H$6,IF($F142="Elevation of Privilege",Formatação!H$7,IF($F142="Lateral Movement",Formatação!H$8,Errado)))))))</f>
        <v>Confidencialidade</v>
      </c>
      <c r="F142" s="17" t="s">
        <v>35</v>
      </c>
      <c r="G142" s="17" t="str" cm="1">
        <f t="array" ref="G142">IF($F142="Information Disclosure",Formatação!J$5,IF($F142="Repudiation",Formatação!J$4,IF($F142="Spoofing",Formatação!J$2,IF($F142="Tampering",Formatação!J$3, IF($F142="Denial of Service",Formatação!J$6,IF($F142="Elevation of Privilege",Formatação!J$7,IF($F142="Lateral Movement",Formatação!J$8,Errado)))))))</f>
        <v>Vazamento de dados</v>
      </c>
      <c r="H142" s="17" t="s">
        <v>26</v>
      </c>
      <c r="I142" s="17" t="s">
        <v>943</v>
      </c>
      <c r="J142" s="17" t="s">
        <v>232</v>
      </c>
      <c r="K142" s="17" t="s">
        <v>847</v>
      </c>
      <c r="L142" s="17" t="s">
        <v>847</v>
      </c>
      <c r="M142" s="17" t="s">
        <v>847</v>
      </c>
      <c r="N142" s="17" t="s">
        <v>1293</v>
      </c>
      <c r="O142" s="17" t="s">
        <v>849</v>
      </c>
      <c r="P142" s="17" t="s">
        <v>849</v>
      </c>
      <c r="Q142" s="17" t="s">
        <v>848</v>
      </c>
      <c r="R142" s="17" t="s">
        <v>849</v>
      </c>
      <c r="S142" s="17" t="s">
        <v>849</v>
      </c>
      <c r="T142" s="17" t="s">
        <v>849</v>
      </c>
      <c r="U142" s="17" t="s">
        <v>849</v>
      </c>
      <c r="V142" s="17" t="s">
        <v>849</v>
      </c>
      <c r="W142" s="17">
        <f t="shared" si="10"/>
        <v>17</v>
      </c>
      <c r="X142" s="17" t="str">
        <f t="shared" si="11"/>
        <v>Alto</v>
      </c>
      <c r="Y142" s="17" t="s">
        <v>851</v>
      </c>
      <c r="Z142" s="17" t="s">
        <v>2193</v>
      </c>
      <c r="AA142" s="17" t="s">
        <v>2160</v>
      </c>
      <c r="AB142" s="17" t="s">
        <v>1005</v>
      </c>
      <c r="AC142" s="17"/>
      <c r="AD142" s="17"/>
      <c r="AE142" s="17"/>
    </row>
    <row r="143" spans="1:31" ht="35.25" customHeight="1">
      <c r="A143" s="21" t="s">
        <v>2314</v>
      </c>
      <c r="B143" s="53" t="s">
        <v>691</v>
      </c>
      <c r="C143" s="17" t="s">
        <v>692</v>
      </c>
      <c r="D143" s="17" t="s">
        <v>252</v>
      </c>
      <c r="E143" s="17" t="str" cm="1">
        <f t="array" ref="E143">IF($F143="Information Disclosure",Formatação!H$5,IF($F143="Repudiation",Formatação!H$4,IF($F143="Spoofing",Formatação!H$2,IF($F143="Tampering",Formatação!H$3, IF($F143="Denial of Service",Formatação!H$6,IF($F143="Elevation of Privilege",Formatação!H$7,IF($F143="Lateral Movement",Formatação!H$8,Errado)))))))</f>
        <v>Confidencialidade</v>
      </c>
      <c r="F143" s="17" t="s">
        <v>35</v>
      </c>
      <c r="G143" s="17" t="str" cm="1">
        <f t="array" ref="G143">IF($F143="Information Disclosure",Formatação!J$5,IF($F143="Repudiation",Formatação!J$4,IF($F143="Spoofing",Formatação!J$2,IF($F143="Tampering",Formatação!J$3, IF($F143="Denial of Service",Formatação!J$6,IF($F143="Elevation of Privilege",Formatação!J$7,IF($F143="Lateral Movement",Formatação!J$8,Errado)))))))</f>
        <v>Vazamento de dados</v>
      </c>
      <c r="H143" s="17" t="s">
        <v>259</v>
      </c>
      <c r="I143" s="17" t="s">
        <v>943</v>
      </c>
      <c r="J143" s="17" t="s">
        <v>232</v>
      </c>
      <c r="K143" s="17" t="s">
        <v>847</v>
      </c>
      <c r="L143" s="17" t="s">
        <v>847</v>
      </c>
      <c r="M143" s="17" t="s">
        <v>847</v>
      </c>
      <c r="N143" s="17" t="s">
        <v>1293</v>
      </c>
      <c r="O143" s="17" t="s">
        <v>849</v>
      </c>
      <c r="P143" s="17" t="s">
        <v>848</v>
      </c>
      <c r="Q143" s="17" t="s">
        <v>848</v>
      </c>
      <c r="R143" s="17" t="s">
        <v>849</v>
      </c>
      <c r="S143" s="17" t="s">
        <v>849</v>
      </c>
      <c r="T143" s="17" t="s">
        <v>849</v>
      </c>
      <c r="U143" s="17" t="s">
        <v>849</v>
      </c>
      <c r="V143" s="17" t="s">
        <v>849</v>
      </c>
      <c r="W143" s="17">
        <f t="shared" si="10"/>
        <v>18</v>
      </c>
      <c r="X143" s="17" t="str">
        <f t="shared" si="11"/>
        <v>Alto</v>
      </c>
      <c r="Y143" s="17" t="s">
        <v>851</v>
      </c>
      <c r="Z143" s="17" t="s">
        <v>2193</v>
      </c>
      <c r="AA143" s="17" t="s">
        <v>2160</v>
      </c>
      <c r="AB143" s="17" t="s">
        <v>1005</v>
      </c>
      <c r="AC143" s="17"/>
      <c r="AD143" s="17"/>
      <c r="AE143" s="17"/>
    </row>
    <row r="144" spans="1:31" ht="35.25" customHeight="1">
      <c r="A144" s="21" t="s">
        <v>2315</v>
      </c>
      <c r="B144" s="53" t="s">
        <v>693</v>
      </c>
      <c r="C144" s="17" t="s">
        <v>694</v>
      </c>
      <c r="D144" s="17" t="s">
        <v>252</v>
      </c>
      <c r="E144" s="17" t="str" cm="1">
        <f t="array" ref="E144">IF($F144="Information Disclosure",Formatação!H$5,IF($F144="Repudiation",Formatação!H$4,IF($F144="Spoofing",Formatação!H$2,IF($F144="Tampering",Formatação!H$3, IF($F144="Denial of Service",Formatação!H$6,IF($F144="Elevation of Privilege",Formatação!H$7,IF($F144="Lateral Movement",Formatação!H$8,Errado)))))))</f>
        <v>Autorização</v>
      </c>
      <c r="F144" s="17" t="s">
        <v>22</v>
      </c>
      <c r="G144" s="17" t="str" cm="1">
        <f t="array" ref="G144">IF($F144="Information Disclosure",Formatação!J$5,IF($F144="Repudiation",Formatação!J$4,IF($F144="Spoofing",Formatação!J$2,IF($F144="Tampering",Formatação!J$3, IF($F144="Denial of Service",Formatação!J$6,IF($F144="Elevation of Privilege",Formatação!J$7,IF($F144="Lateral Movement",Formatação!J$8,Errado)))))))</f>
        <v>Danos financeiros/Vazamento de dados</v>
      </c>
      <c r="H144" s="17" t="s">
        <v>14</v>
      </c>
      <c r="I144" s="17" t="s">
        <v>943</v>
      </c>
      <c r="J144" s="17" t="s">
        <v>232</v>
      </c>
      <c r="K144" s="17" t="s">
        <v>847</v>
      </c>
      <c r="L144" s="17" t="s">
        <v>847</v>
      </c>
      <c r="M144" s="17" t="s">
        <v>847</v>
      </c>
      <c r="N144" s="17" t="s">
        <v>1293</v>
      </c>
      <c r="O144" s="17" t="s">
        <v>849</v>
      </c>
      <c r="P144" s="17" t="s">
        <v>848</v>
      </c>
      <c r="Q144" s="17" t="s">
        <v>848</v>
      </c>
      <c r="R144" s="17" t="s">
        <v>849</v>
      </c>
      <c r="S144" s="17" t="s">
        <v>849</v>
      </c>
      <c r="T144" s="17" t="s">
        <v>849</v>
      </c>
      <c r="U144" s="17" t="s">
        <v>849</v>
      </c>
      <c r="V144" s="17" t="s">
        <v>850</v>
      </c>
      <c r="W144" s="17">
        <f t="shared" si="10"/>
        <v>18</v>
      </c>
      <c r="X144" s="17" t="str">
        <f t="shared" si="11"/>
        <v>Alto</v>
      </c>
      <c r="Y144" s="17" t="s">
        <v>851</v>
      </c>
      <c r="Z144" s="17" t="s">
        <v>2316</v>
      </c>
      <c r="AA144" s="17" t="s">
        <v>2317</v>
      </c>
      <c r="AB144" s="17" t="s">
        <v>1005</v>
      </c>
      <c r="AC144" s="17"/>
      <c r="AD144" s="17"/>
      <c r="AE144" s="17"/>
    </row>
    <row r="145" spans="1:31" ht="35.25" customHeight="1">
      <c r="A145" s="21" t="s">
        <v>2318</v>
      </c>
      <c r="B145" s="53" t="s">
        <v>1029</v>
      </c>
      <c r="C145" s="17" t="s">
        <v>696</v>
      </c>
      <c r="D145" s="17" t="s">
        <v>252</v>
      </c>
      <c r="E145" s="17" t="str" cm="1">
        <f t="array" ref="E145">IF($F145="Information Disclosure",Formatação!H$5,IF($F145="Repudiation",Formatação!H$4,IF($F145="Spoofing",Formatação!H$2,IF($F145="Tampering",Formatação!H$3, IF($F145="Denial of Service",Formatação!H$6,IF($F145="Elevation of Privilege",Formatação!H$7,IF($F145="Lateral Movement",Formatação!H$8,Errado)))))))</f>
        <v>Autenticação</v>
      </c>
      <c r="F145" s="17" t="s">
        <v>102</v>
      </c>
      <c r="G145" s="17" t="str" cm="1">
        <f t="array" ref="G145">IF($F145="Information Disclosure",Formatação!J$5,IF($F145="Repudiation",Formatação!J$4,IF($F145="Spoofing",Formatação!J$2,IF($F145="Tampering",Formatação!J$3, IF($F145="Denial of Service",Formatação!J$6,IF($F145="Elevation of Privilege",Formatação!J$7,IF($F145="Lateral Movement",Formatação!J$8,Errado)))))))</f>
        <v>Fraudes/Vazamento de dados</v>
      </c>
      <c r="H145" s="17" t="s">
        <v>23</v>
      </c>
      <c r="I145" s="17" t="s">
        <v>943</v>
      </c>
      <c r="J145" s="17" t="s">
        <v>232</v>
      </c>
      <c r="K145" s="17" t="s">
        <v>847</v>
      </c>
      <c r="L145" s="17" t="s">
        <v>847</v>
      </c>
      <c r="M145" s="17" t="s">
        <v>847</v>
      </c>
      <c r="N145" s="17" t="s">
        <v>1293</v>
      </c>
      <c r="O145" s="17" t="s">
        <v>849</v>
      </c>
      <c r="P145" s="17" t="s">
        <v>848</v>
      </c>
      <c r="Q145" s="17" t="s">
        <v>848</v>
      </c>
      <c r="R145" s="17" t="s">
        <v>849</v>
      </c>
      <c r="S145" s="17" t="s">
        <v>849</v>
      </c>
      <c r="T145" s="17" t="s">
        <v>849</v>
      </c>
      <c r="U145" s="17" t="s">
        <v>849</v>
      </c>
      <c r="V145" s="17" t="s">
        <v>848</v>
      </c>
      <c r="W145" s="17">
        <f t="shared" si="10"/>
        <v>19</v>
      </c>
      <c r="X145" s="17" t="str">
        <f t="shared" si="11"/>
        <v>Crítico</v>
      </c>
      <c r="Y145" s="17" t="s">
        <v>851</v>
      </c>
      <c r="Z145" s="17" t="s">
        <v>2319</v>
      </c>
      <c r="AA145" s="17" t="s">
        <v>2296</v>
      </c>
      <c r="AB145" s="17" t="s">
        <v>1005</v>
      </c>
      <c r="AC145" s="17"/>
      <c r="AD145" s="17"/>
      <c r="AE145" s="17"/>
    </row>
    <row r="146" spans="1:31" ht="35.25" customHeight="1">
      <c r="A146" s="21" t="s">
        <v>2320</v>
      </c>
      <c r="B146" s="53" t="s">
        <v>1031</v>
      </c>
      <c r="C146" s="17" t="s">
        <v>1032</v>
      </c>
      <c r="D146" s="17" t="s">
        <v>252</v>
      </c>
      <c r="E146" s="17" t="str" cm="1">
        <f t="array" ref="E146">IF($F146="Information Disclosure",Formatação!H$5,IF($F146="Repudiation",Formatação!H$4,IF($F146="Spoofing",Formatação!H$2,IF($F146="Tampering",Formatação!H$3, IF($F146="Denial of Service",Formatação!H$6,IF($F146="Elevation of Privilege",Formatação!H$7,IF($F146="Lateral Movement",Formatação!H$8,Errado)))))))</f>
        <v>Confidencialidade</v>
      </c>
      <c r="F146" s="17" t="s">
        <v>35</v>
      </c>
      <c r="G146" s="17" t="str" cm="1">
        <f t="array" ref="G146">IF($F146="Information Disclosure",Formatação!J$5,IF($F146="Repudiation",Formatação!J$4,IF($F146="Spoofing",Formatação!J$2,IF($F146="Tampering",Formatação!J$3, IF($F146="Denial of Service",Formatação!J$6,IF($F146="Elevation of Privilege",Formatação!J$7,IF($F146="Lateral Movement",Formatação!J$8,Errado)))))))</f>
        <v>Vazamento de dados</v>
      </c>
      <c r="H146" s="17" t="s">
        <v>26</v>
      </c>
      <c r="I146" s="17" t="s">
        <v>943</v>
      </c>
      <c r="J146" s="17" t="s">
        <v>232</v>
      </c>
      <c r="K146" s="17" t="s">
        <v>847</v>
      </c>
      <c r="L146" s="17" t="s">
        <v>847</v>
      </c>
      <c r="M146" s="17" t="s">
        <v>847</v>
      </c>
      <c r="N146" s="17" t="s">
        <v>1293</v>
      </c>
      <c r="O146" s="17" t="s">
        <v>849</v>
      </c>
      <c r="P146" s="17" t="s">
        <v>849</v>
      </c>
      <c r="Q146" s="17" t="s">
        <v>848</v>
      </c>
      <c r="R146" s="17" t="s">
        <v>849</v>
      </c>
      <c r="S146" s="17" t="s">
        <v>849</v>
      </c>
      <c r="T146" s="17" t="s">
        <v>849</v>
      </c>
      <c r="U146" s="17" t="s">
        <v>849</v>
      </c>
      <c r="V146" s="17" t="s">
        <v>848</v>
      </c>
      <c r="W146" s="17">
        <f t="shared" si="10"/>
        <v>18</v>
      </c>
      <c r="X146" s="17" t="str">
        <f t="shared" si="11"/>
        <v>Alto</v>
      </c>
      <c r="Y146" s="17" t="s">
        <v>851</v>
      </c>
      <c r="Z146" s="17" t="e" vm="1">
        <f>VLOOKUP(Tabela7[[#This Row],[Controle]],[1]!Tabela135[#Data],33,FALSE)</f>
        <v>#REF!</v>
      </c>
      <c r="AA146" s="17" t="e" vm="1">
        <f>VLOOKUP(Tabela7[[#This Row],[Controle]],[1]!Tabela135[#Data],34,FALSE)</f>
        <v>#REF!</v>
      </c>
      <c r="AB146" s="17" t="s">
        <v>1005</v>
      </c>
      <c r="AC146" s="17"/>
      <c r="AD146" s="17"/>
      <c r="AE146" s="77" t="s">
        <v>16</v>
      </c>
    </row>
    <row r="147" spans="1:31" s="74" customFormat="1" ht="35.25" customHeight="1">
      <c r="A147" s="21" t="s">
        <v>2321</v>
      </c>
      <c r="B147" s="53" t="s">
        <v>2322</v>
      </c>
      <c r="C147" s="17" t="s">
        <v>2323</v>
      </c>
      <c r="D147" s="17" t="s">
        <v>1310</v>
      </c>
      <c r="E147" s="17" t="s">
        <v>541</v>
      </c>
      <c r="F147" s="17" t="s">
        <v>22</v>
      </c>
      <c r="G147" s="17" t="s">
        <v>1297</v>
      </c>
      <c r="H147" s="17" t="s">
        <v>375</v>
      </c>
      <c r="I147" s="17" t="s">
        <v>960</v>
      </c>
      <c r="J147" s="17" t="s">
        <v>939</v>
      </c>
      <c r="K147" s="17" t="s">
        <v>847</v>
      </c>
      <c r="L147" s="17" t="s">
        <v>847</v>
      </c>
      <c r="M147" s="17" t="s">
        <v>847</v>
      </c>
      <c r="N147" s="17" t="s">
        <v>847</v>
      </c>
      <c r="O147" s="17" t="s">
        <v>849</v>
      </c>
      <c r="P147" s="17" t="s">
        <v>848</v>
      </c>
      <c r="Q147" s="17" t="s">
        <v>849</v>
      </c>
      <c r="R147" s="17" t="s">
        <v>1614</v>
      </c>
      <c r="S147" s="17" t="s">
        <v>849</v>
      </c>
      <c r="T147" s="17" t="s">
        <v>1614</v>
      </c>
      <c r="U147" s="17" t="s">
        <v>1614</v>
      </c>
      <c r="V147" s="17" t="s">
        <v>1614</v>
      </c>
      <c r="W147" s="17">
        <f t="shared" si="10"/>
        <v>9</v>
      </c>
      <c r="X147" s="17" t="str">
        <f t="shared" si="11"/>
        <v>Moderado</v>
      </c>
      <c r="Y147" s="17" t="s">
        <v>1704</v>
      </c>
      <c r="Z147" s="17" t="s">
        <v>2324</v>
      </c>
      <c r="AA147" s="17" t="s">
        <v>2325</v>
      </c>
      <c r="AB147" s="17" t="s">
        <v>2326</v>
      </c>
      <c r="AC147" s="17"/>
      <c r="AD147" s="17"/>
      <c r="AE147" s="17"/>
    </row>
    <row r="148" spans="1:31" ht="35.25" customHeight="1">
      <c r="A148" s="21" t="s">
        <v>2327</v>
      </c>
      <c r="B148" s="53" t="s">
        <v>2328</v>
      </c>
      <c r="C148" s="17" t="s">
        <v>2329</v>
      </c>
      <c r="D148" s="17" t="s">
        <v>1310</v>
      </c>
      <c r="E148" s="17" t="s">
        <v>541</v>
      </c>
      <c r="F148" s="17" t="s">
        <v>22</v>
      </c>
      <c r="G148" s="17" t="s">
        <v>1297</v>
      </c>
      <c r="H148" s="17" t="s">
        <v>375</v>
      </c>
      <c r="I148" s="17" t="s">
        <v>231</v>
      </c>
      <c r="J148" s="17" t="s">
        <v>939</v>
      </c>
      <c r="K148" s="17" t="s">
        <v>847</v>
      </c>
      <c r="L148" s="17" t="s">
        <v>847</v>
      </c>
      <c r="M148" s="17" t="s">
        <v>847</v>
      </c>
      <c r="N148" s="17" t="s">
        <v>847</v>
      </c>
      <c r="O148" s="17" t="s">
        <v>849</v>
      </c>
      <c r="P148" s="17" t="s">
        <v>848</v>
      </c>
      <c r="Q148" s="17" t="s">
        <v>848</v>
      </c>
      <c r="R148" s="17" t="s">
        <v>849</v>
      </c>
      <c r="S148" s="17" t="s">
        <v>849</v>
      </c>
      <c r="T148" s="17" t="s">
        <v>848</v>
      </c>
      <c r="U148" s="17" t="s">
        <v>849</v>
      </c>
      <c r="V148" s="17" t="s">
        <v>849</v>
      </c>
      <c r="W148" s="17">
        <f t="shared" si="10"/>
        <v>19</v>
      </c>
      <c r="X148" s="17" t="str">
        <f t="shared" si="11"/>
        <v>Crítico</v>
      </c>
      <c r="Y148" s="17" t="s">
        <v>2330</v>
      </c>
      <c r="Z148" s="17" t="s">
        <v>2331</v>
      </c>
      <c r="AA148" s="17" t="s">
        <v>2332</v>
      </c>
      <c r="AB148" s="17" t="s">
        <v>2326</v>
      </c>
      <c r="AC148" s="17"/>
      <c r="AD148" s="17"/>
      <c r="AE148" s="17"/>
    </row>
    <row r="149" spans="1:31" s="74" customFormat="1" ht="35.25" customHeight="1">
      <c r="A149" s="21" t="s">
        <v>2333</v>
      </c>
      <c r="B149" s="53" t="s">
        <v>2334</v>
      </c>
      <c r="C149" s="17" t="s">
        <v>938</v>
      </c>
      <c r="D149" s="17" t="s">
        <v>1310</v>
      </c>
      <c r="E149" s="17" t="str" cm="1">
        <f t="array" ref="E149">IF($F149="Information Disclosure",Formatação!H$5,IF($F149="Repudiation",Formatação!H$4,IF($F149="Spoofing",Formatação!H$2,IF($F149="Tampering",Formatação!H$3, IF($F149="Denial of Service",Formatação!H$6,IF($F149="Elevation of Privilege",Formatação!H$7,IF($F149="Lateral Movement",Formatação!H$8,Errado)))))))</f>
        <v>Autenticação</v>
      </c>
      <c r="F149" s="17" t="s">
        <v>102</v>
      </c>
      <c r="G149" s="17" t="str" cm="1">
        <f t="array" ref="G149">IF($F149="Information Disclosure",Formatação!J$5,IF($F149="Repudiation",Formatação!J$4,IF($F149="Spoofing",Formatação!J$2,IF($F149="Tampering",Formatação!J$3, IF($F149="Denial of Service",Formatação!J$6,IF($F149="Elevation of Privilege",Formatação!J$7,IF($F149="Lateral Movement",Formatação!J$8,Errado)))))))</f>
        <v>Fraudes/Vazamento de dados</v>
      </c>
      <c r="H149" s="17" t="s">
        <v>375</v>
      </c>
      <c r="I149" s="17" t="s">
        <v>231</v>
      </c>
      <c r="J149" s="17" t="s">
        <v>939</v>
      </c>
      <c r="K149" s="17" t="s">
        <v>847</v>
      </c>
      <c r="L149" s="17" t="s">
        <v>847</v>
      </c>
      <c r="M149" s="17" t="s">
        <v>847</v>
      </c>
      <c r="N149" s="17" t="s">
        <v>847</v>
      </c>
      <c r="O149" s="17" t="s">
        <v>1614</v>
      </c>
      <c r="P149" s="17" t="s">
        <v>848</v>
      </c>
      <c r="Q149" s="17" t="s">
        <v>848</v>
      </c>
      <c r="R149" s="17" t="s">
        <v>849</v>
      </c>
      <c r="S149" s="17" t="s">
        <v>849</v>
      </c>
      <c r="T149" s="17" t="s">
        <v>849</v>
      </c>
      <c r="U149" s="17" t="s">
        <v>849</v>
      </c>
      <c r="V149" s="17" t="s">
        <v>850</v>
      </c>
      <c r="W149" s="17">
        <f t="shared" si="10"/>
        <v>16</v>
      </c>
      <c r="X149" s="17" t="str">
        <f t="shared" si="11"/>
        <v>Alto</v>
      </c>
      <c r="Y149" s="17" t="s">
        <v>851</v>
      </c>
      <c r="Z149" s="17" t="s">
        <v>2156</v>
      </c>
      <c r="AA149" s="17" t="s">
        <v>2335</v>
      </c>
      <c r="AB149" s="17" t="s">
        <v>437</v>
      </c>
      <c r="AC149" s="17"/>
      <c r="AD149" s="17"/>
      <c r="AE149" s="17"/>
    </row>
    <row r="150" spans="1:31" ht="35.25" customHeight="1">
      <c r="A150" s="21" t="s">
        <v>2336</v>
      </c>
      <c r="B150" s="53" t="s">
        <v>2337</v>
      </c>
      <c r="C150" s="17" t="s">
        <v>2338</v>
      </c>
      <c r="D150" s="17" t="s">
        <v>1310</v>
      </c>
      <c r="E150" s="17" t="s">
        <v>541</v>
      </c>
      <c r="F150" s="17" t="s">
        <v>22</v>
      </c>
      <c r="G150" s="17" t="s">
        <v>1297</v>
      </c>
      <c r="H150" s="17" t="s">
        <v>375</v>
      </c>
      <c r="I150" s="17" t="s">
        <v>231</v>
      </c>
      <c r="J150" s="17" t="s">
        <v>939</v>
      </c>
      <c r="K150" s="17" t="s">
        <v>847</v>
      </c>
      <c r="L150" s="17" t="s">
        <v>847</v>
      </c>
      <c r="M150" s="17" t="s">
        <v>847</v>
      </c>
      <c r="N150" s="17" t="s">
        <v>847</v>
      </c>
      <c r="O150" s="17" t="s">
        <v>849</v>
      </c>
      <c r="P150" s="17" t="s">
        <v>848</v>
      </c>
      <c r="Q150" s="17" t="s">
        <v>849</v>
      </c>
      <c r="R150" s="17" t="s">
        <v>849</v>
      </c>
      <c r="S150" s="17" t="s">
        <v>848</v>
      </c>
      <c r="T150" s="17" t="s">
        <v>848</v>
      </c>
      <c r="U150" s="17" t="s">
        <v>848</v>
      </c>
      <c r="V150" s="17" t="s">
        <v>848</v>
      </c>
      <c r="W150" s="17">
        <f t="shared" si="10"/>
        <v>21</v>
      </c>
      <c r="X150" s="17" t="str">
        <f t="shared" si="11"/>
        <v>Crítico</v>
      </c>
      <c r="Y150" s="17" t="s">
        <v>1704</v>
      </c>
      <c r="Z150" s="17" t="s">
        <v>2331</v>
      </c>
      <c r="AA150" s="17" t="s">
        <v>2335</v>
      </c>
      <c r="AB150" s="17" t="s">
        <v>2326</v>
      </c>
      <c r="AC150" s="17"/>
      <c r="AD150" s="17"/>
      <c r="AE150" s="17"/>
    </row>
    <row r="151" spans="1:31" ht="35.25" customHeight="1">
      <c r="A151" s="21" t="s">
        <v>2339</v>
      </c>
      <c r="B151" s="53" t="s">
        <v>2340</v>
      </c>
      <c r="C151" s="17" t="s">
        <v>2341</v>
      </c>
      <c r="D151" s="17" t="s">
        <v>1310</v>
      </c>
      <c r="E151" s="17" t="s">
        <v>541</v>
      </c>
      <c r="F151" s="17" t="s">
        <v>22</v>
      </c>
      <c r="G151" s="17" t="s">
        <v>1297</v>
      </c>
      <c r="H151" s="17" t="s">
        <v>375</v>
      </c>
      <c r="I151" s="17" t="s">
        <v>231</v>
      </c>
      <c r="J151" s="17" t="s">
        <v>939</v>
      </c>
      <c r="K151" s="17" t="s">
        <v>847</v>
      </c>
      <c r="L151" s="17" t="s">
        <v>847</v>
      </c>
      <c r="M151" s="17" t="s">
        <v>847</v>
      </c>
      <c r="N151" s="17" t="s">
        <v>847</v>
      </c>
      <c r="O151" s="17" t="s">
        <v>849</v>
      </c>
      <c r="P151" s="17" t="s">
        <v>848</v>
      </c>
      <c r="Q151" s="17" t="s">
        <v>848</v>
      </c>
      <c r="R151" s="17" t="s">
        <v>849</v>
      </c>
      <c r="S151" s="17" t="s">
        <v>848</v>
      </c>
      <c r="T151" s="17" t="s">
        <v>848</v>
      </c>
      <c r="U151" s="17" t="s">
        <v>848</v>
      </c>
      <c r="V151" s="17" t="s">
        <v>848</v>
      </c>
      <c r="W151" s="17">
        <f t="shared" si="10"/>
        <v>22</v>
      </c>
      <c r="X151" s="17" t="str">
        <f t="shared" si="11"/>
        <v>Crítico</v>
      </c>
      <c r="Y151" s="17" t="s">
        <v>851</v>
      </c>
      <c r="Z151" s="17" t="s">
        <v>2342</v>
      </c>
      <c r="AA151" s="17" t="s">
        <v>2343</v>
      </c>
      <c r="AB151" s="17" t="s">
        <v>2326</v>
      </c>
      <c r="AC151" s="17"/>
      <c r="AD151" s="17"/>
      <c r="AE151" s="17"/>
    </row>
    <row r="152" spans="1:31" s="74" customFormat="1" ht="35.25" customHeight="1">
      <c r="A152" s="21" t="s">
        <v>2344</v>
      </c>
      <c r="B152" s="53" t="s">
        <v>2345</v>
      </c>
      <c r="C152" s="17" t="s">
        <v>2346</v>
      </c>
      <c r="D152" s="17" t="s">
        <v>1310</v>
      </c>
      <c r="E152" s="17" t="s">
        <v>541</v>
      </c>
      <c r="F152" s="17" t="s">
        <v>22</v>
      </c>
      <c r="G152" s="17" t="s">
        <v>1297</v>
      </c>
      <c r="H152" s="17" t="s">
        <v>375</v>
      </c>
      <c r="I152" s="17" t="s">
        <v>231</v>
      </c>
      <c r="J152" s="17" t="s">
        <v>939</v>
      </c>
      <c r="K152" s="17" t="s">
        <v>1293</v>
      </c>
      <c r="L152" s="17" t="s">
        <v>847</v>
      </c>
      <c r="M152" s="17" t="s">
        <v>847</v>
      </c>
      <c r="N152" s="17" t="s">
        <v>847</v>
      </c>
      <c r="O152" s="17" t="s">
        <v>849</v>
      </c>
      <c r="P152" s="17" t="s">
        <v>848</v>
      </c>
      <c r="Q152" s="17" t="s">
        <v>848</v>
      </c>
      <c r="R152" s="17" t="s">
        <v>849</v>
      </c>
      <c r="S152" s="17" t="s">
        <v>848</v>
      </c>
      <c r="T152" s="17" t="s">
        <v>848</v>
      </c>
      <c r="U152" s="17" t="s">
        <v>848</v>
      </c>
      <c r="V152" s="17" t="s">
        <v>848</v>
      </c>
      <c r="W152" s="17">
        <f t="shared" si="10"/>
        <v>22</v>
      </c>
      <c r="X152" s="17" t="str">
        <f t="shared" si="11"/>
        <v>Crítico</v>
      </c>
      <c r="Y152" s="17" t="s">
        <v>851</v>
      </c>
      <c r="Z152" s="17" t="s">
        <v>2342</v>
      </c>
      <c r="AA152" s="17" t="s">
        <v>2343</v>
      </c>
      <c r="AB152" s="17" t="s">
        <v>2326</v>
      </c>
      <c r="AC152" s="17"/>
      <c r="AD152" s="17"/>
      <c r="AE152" s="17"/>
    </row>
    <row r="153" spans="1:31" ht="35.25" customHeight="1">
      <c r="A153" s="21" t="s">
        <v>2347</v>
      </c>
      <c r="B153" s="53" t="s">
        <v>2348</v>
      </c>
      <c r="C153" s="17" t="s">
        <v>1064</v>
      </c>
      <c r="D153" s="17" t="s">
        <v>1324</v>
      </c>
      <c r="E153" s="17" t="str" cm="1">
        <f t="array" ref="E153">IF($F153="Information Disclosure",Formatação!H$5,IF($F153="Repudiation",Formatação!H$4,IF($F153="Spoofing",Formatação!H$2,IF($F153="Tampering",Formatação!H$3, IF($F153="Denial of Service",Formatação!H$6,IF($F153="Elevation of Privilege",Formatação!H$7,IF($F153="Lateral Movement",Formatação!H$8,Errado)))))))</f>
        <v>Disponibilidade</v>
      </c>
      <c r="F153" s="17" t="s">
        <v>239</v>
      </c>
      <c r="G153" s="17" t="str" cm="1">
        <f t="array" ref="G153">IF($F153="Information Disclosure",Formatação!J$5,IF($F153="Repudiation",Formatação!J$4,IF($F153="Spoofing",Formatação!J$2,IF($F153="Tampering",Formatação!J$3, IF($F153="Denial of Service",Formatação!J$6,IF($F153="Elevation of Privilege",Formatação!J$7,IF($F153="Lateral Movement",Formatação!J$8,Errado)))))))</f>
        <v>Indisponibilidade</v>
      </c>
      <c r="H153" s="17" t="s">
        <v>375</v>
      </c>
      <c r="I153" s="17" t="s">
        <v>964</v>
      </c>
      <c r="J153" s="17" t="s">
        <v>965</v>
      </c>
      <c r="K153" s="17" t="s">
        <v>847</v>
      </c>
      <c r="L153" s="17" t="s">
        <v>847</v>
      </c>
      <c r="M153" s="17" t="s">
        <v>847</v>
      </c>
      <c r="N153" s="17" t="s">
        <v>847</v>
      </c>
      <c r="O153" s="17" t="s">
        <v>849</v>
      </c>
      <c r="P153" s="17" t="s">
        <v>849</v>
      </c>
      <c r="Q153" s="17" t="s">
        <v>849</v>
      </c>
      <c r="R153" s="17" t="s">
        <v>849</v>
      </c>
      <c r="S153" s="17" t="s">
        <v>849</v>
      </c>
      <c r="T153" s="17" t="s">
        <v>849</v>
      </c>
      <c r="U153" s="17" t="s">
        <v>849</v>
      </c>
      <c r="V153" s="17" t="s">
        <v>849</v>
      </c>
      <c r="W153" s="17">
        <f t="shared" si="10"/>
        <v>16</v>
      </c>
      <c r="X153" s="17" t="str">
        <f t="shared" si="11"/>
        <v>Alto</v>
      </c>
      <c r="Y153" s="17" t="s">
        <v>2349</v>
      </c>
      <c r="Z153" s="17" t="s">
        <v>2350</v>
      </c>
      <c r="AA153" s="17" t="s">
        <v>2351</v>
      </c>
      <c r="AB153" s="17" t="s">
        <v>966</v>
      </c>
      <c r="AC153" s="17"/>
      <c r="AD153" s="17"/>
      <c r="AE153" s="77" t="s">
        <v>16</v>
      </c>
    </row>
    <row r="154" spans="1:31" ht="35.25" customHeight="1">
      <c r="A154" s="21" t="s">
        <v>2352</v>
      </c>
      <c r="B154" s="53" t="s">
        <v>2353</v>
      </c>
      <c r="C154" s="17" t="s">
        <v>1067</v>
      </c>
      <c r="D154" s="17" t="s">
        <v>1324</v>
      </c>
      <c r="E154" s="17" t="str" cm="1">
        <f t="array" ref="E154">IF($F154="Information Disclosure",Formatação!H$5,IF($F154="Repudiation",Formatação!H$4,IF($F154="Spoofing",Formatação!H$2,IF($F154="Tampering",Formatação!H$3, IF($F154="Denial of Service",Formatação!H$6,IF($F154="Elevation of Privilege",Formatação!H$7,IF($F154="Lateral Movement",Formatação!H$8,Errado)))))))</f>
        <v>Disponibilidade</v>
      </c>
      <c r="F154" s="17" t="s">
        <v>239</v>
      </c>
      <c r="G154" s="17" t="str" cm="1">
        <f t="array" ref="G154">IF($F154="Information Disclosure",Formatação!J$5,IF($F154="Repudiation",Formatação!J$4,IF($F154="Spoofing",Formatação!J$2,IF($F154="Tampering",Formatação!J$3, IF($F154="Denial of Service",Formatação!J$6,IF($F154="Elevation of Privilege",Formatação!J$7,IF($F154="Lateral Movement",Formatação!J$8,Errado)))))))</f>
        <v>Indisponibilidade</v>
      </c>
      <c r="H154" s="17" t="s">
        <v>375</v>
      </c>
      <c r="I154" s="17" t="s">
        <v>964</v>
      </c>
      <c r="J154" s="17" t="s">
        <v>965</v>
      </c>
      <c r="K154" s="17" t="s">
        <v>847</v>
      </c>
      <c r="L154" s="17" t="s">
        <v>847</v>
      </c>
      <c r="M154" s="17" t="s">
        <v>847</v>
      </c>
      <c r="N154" s="17" t="s">
        <v>847</v>
      </c>
      <c r="O154" s="17" t="s">
        <v>849</v>
      </c>
      <c r="P154" s="17" t="s">
        <v>849</v>
      </c>
      <c r="Q154" s="17" t="s">
        <v>849</v>
      </c>
      <c r="R154" s="17" t="s">
        <v>849</v>
      </c>
      <c r="S154" s="17" t="s">
        <v>849</v>
      </c>
      <c r="T154" s="17" t="s">
        <v>849</v>
      </c>
      <c r="U154" s="17" t="s">
        <v>849</v>
      </c>
      <c r="V154" s="17" t="s">
        <v>849</v>
      </c>
      <c r="W154" s="17">
        <f t="shared" si="10"/>
        <v>16</v>
      </c>
      <c r="X154" s="17" t="str">
        <f t="shared" si="11"/>
        <v>Alto</v>
      </c>
      <c r="Y154" s="17" t="s">
        <v>2349</v>
      </c>
      <c r="Z154" s="17" t="s">
        <v>2350</v>
      </c>
      <c r="AA154" s="17" t="s">
        <v>2351</v>
      </c>
      <c r="AB154" s="17" t="s">
        <v>966</v>
      </c>
      <c r="AC154" s="17"/>
      <c r="AD154" s="17"/>
      <c r="AE154" s="77" t="s">
        <v>16</v>
      </c>
    </row>
    <row r="155" spans="1:31" ht="35.25" customHeight="1">
      <c r="A155" s="21" t="s">
        <v>2354</v>
      </c>
      <c r="B155" s="53" t="s">
        <v>2355</v>
      </c>
      <c r="C155" s="17" t="s">
        <v>1070</v>
      </c>
      <c r="D155" s="17" t="s">
        <v>1324</v>
      </c>
      <c r="E155" s="17" t="str" cm="1">
        <f t="array" ref="E155">IF($F155="Information Disclosure",Formatação!H$5,IF($F155="Repudiation",Formatação!H$4,IF($F155="Spoofing",Formatação!H$2,IF($F155="Tampering",Formatação!H$3, IF($F155="Denial of Service",Formatação!H$6,IF($F155="Elevation of Privilege",Formatação!H$7,IF($F155="Lateral Movement",Formatação!H$8,Errado)))))))</f>
        <v>Disponibilidade</v>
      </c>
      <c r="F155" s="17" t="s">
        <v>239</v>
      </c>
      <c r="G155" s="17" t="str" cm="1">
        <f t="array" ref="G155">IF($F155="Information Disclosure",Formatação!J$5,IF($F155="Repudiation",Formatação!J$4,IF($F155="Spoofing",Formatação!J$2,IF($F155="Tampering",Formatação!J$3, IF($F155="Denial of Service",Formatação!J$6,IF($F155="Elevation of Privilege",Formatação!J$7,IF($F155="Lateral Movement",Formatação!J$8,Errado)))))))</f>
        <v>Indisponibilidade</v>
      </c>
      <c r="H155" s="17" t="s">
        <v>375</v>
      </c>
      <c r="I155" s="17" t="s">
        <v>964</v>
      </c>
      <c r="J155" s="17" t="s">
        <v>965</v>
      </c>
      <c r="K155" s="17" t="s">
        <v>847</v>
      </c>
      <c r="L155" s="17" t="s">
        <v>847</v>
      </c>
      <c r="M155" s="17" t="s">
        <v>847</v>
      </c>
      <c r="N155" s="17" t="s">
        <v>1293</v>
      </c>
      <c r="O155" s="17" t="s">
        <v>849</v>
      </c>
      <c r="P155" s="17" t="s">
        <v>849</v>
      </c>
      <c r="Q155" s="17" t="s">
        <v>849</v>
      </c>
      <c r="R155" s="17" t="s">
        <v>849</v>
      </c>
      <c r="S155" s="17" t="s">
        <v>849</v>
      </c>
      <c r="T155" s="17" t="s">
        <v>849</v>
      </c>
      <c r="U155" s="17" t="s">
        <v>849</v>
      </c>
      <c r="V155" s="17" t="s">
        <v>848</v>
      </c>
      <c r="W155" s="17">
        <f t="shared" si="10"/>
        <v>17</v>
      </c>
      <c r="X155" s="17" t="str">
        <f t="shared" si="11"/>
        <v>Alto</v>
      </c>
      <c r="Y155" s="17" t="s">
        <v>851</v>
      </c>
      <c r="Z155" s="17" t="s">
        <v>2350</v>
      </c>
      <c r="AA155" s="17" t="s">
        <v>2356</v>
      </c>
      <c r="AB155" s="17" t="s">
        <v>966</v>
      </c>
      <c r="AC155" s="17"/>
      <c r="AD155" s="17"/>
      <c r="AE155" s="77" t="s">
        <v>16</v>
      </c>
    </row>
    <row r="156" spans="1:31" ht="35.25" customHeight="1">
      <c r="A156" s="21" t="s">
        <v>2357</v>
      </c>
      <c r="B156" s="53" t="s">
        <v>1072</v>
      </c>
      <c r="C156" s="17" t="s">
        <v>1073</v>
      </c>
      <c r="D156" s="17" t="s">
        <v>1324</v>
      </c>
      <c r="E156" s="17" t="str" cm="1">
        <f t="array" ref="E156">IF($F156="Information Disclosure",Formatação!H$5,IF($F156="Repudiation",Formatação!H$4,IF($F156="Spoofing",Formatação!H$2,IF($F156="Tampering",Formatação!H$3, IF($F156="Denial of Service",Formatação!H$6,IF($F156="Elevation of Privilege",Formatação!H$7,IF($F156="Lateral Movement",Formatação!H$8,Errado)))))))</f>
        <v>Disponibilidade</v>
      </c>
      <c r="F156" s="17" t="s">
        <v>239</v>
      </c>
      <c r="G156" s="17" t="str" cm="1">
        <f t="array" ref="G156">IF($F156="Information Disclosure",Formatação!J$5,IF($F156="Repudiation",Formatação!J$4,IF($F156="Spoofing",Formatação!J$2,IF($F156="Tampering",Formatação!J$3, IF($F156="Denial of Service",Formatação!J$6,IF($F156="Elevation of Privilege",Formatação!J$7,IF($F156="Lateral Movement",Formatação!J$8,Errado)))))))</f>
        <v>Indisponibilidade</v>
      </c>
      <c r="H156" s="17" t="s">
        <v>375</v>
      </c>
      <c r="I156" s="17" t="s">
        <v>964</v>
      </c>
      <c r="J156" s="17" t="s">
        <v>965</v>
      </c>
      <c r="K156" s="17" t="s">
        <v>847</v>
      </c>
      <c r="L156" s="17" t="s">
        <v>847</v>
      </c>
      <c r="M156" s="17" t="s">
        <v>847</v>
      </c>
      <c r="N156" s="17" t="s">
        <v>847</v>
      </c>
      <c r="O156" s="17" t="s">
        <v>849</v>
      </c>
      <c r="P156" s="17" t="s">
        <v>849</v>
      </c>
      <c r="Q156" s="17" t="s">
        <v>849</v>
      </c>
      <c r="R156" s="17" t="s">
        <v>849</v>
      </c>
      <c r="S156" s="17" t="s">
        <v>849</v>
      </c>
      <c r="T156" s="17" t="s">
        <v>849</v>
      </c>
      <c r="U156" s="17" t="s">
        <v>849</v>
      </c>
      <c r="V156" s="17" t="s">
        <v>849</v>
      </c>
      <c r="W156" s="17">
        <f t="shared" si="10"/>
        <v>16</v>
      </c>
      <c r="X156" s="17" t="str">
        <f t="shared" si="11"/>
        <v>Alto</v>
      </c>
      <c r="Y156" s="17" t="s">
        <v>1979</v>
      </c>
      <c r="Z156" s="17" t="e" vm="1">
        <f>VLOOKUP(Tabela7[[#This Row],[Controle]],[1]!Tabela135[#Data],33,FALSE)</f>
        <v>#REF!</v>
      </c>
      <c r="AA156" s="17" t="e" vm="1">
        <f>VLOOKUP(Tabela7[[#This Row],[Controle]],[1]!Tabela135[#Data],34,FALSE)</f>
        <v>#REF!</v>
      </c>
      <c r="AB156" s="17" t="s">
        <v>966</v>
      </c>
      <c r="AC156" s="17"/>
      <c r="AD156" s="17"/>
      <c r="AE156" s="77" t="s">
        <v>16</v>
      </c>
    </row>
    <row r="157" spans="1:31" ht="35.25" customHeight="1">
      <c r="A157" s="21" t="s">
        <v>2358</v>
      </c>
      <c r="B157" s="53" t="s">
        <v>1075</v>
      </c>
      <c r="C157" s="17" t="s">
        <v>1076</v>
      </c>
      <c r="D157" s="17" t="s">
        <v>1324</v>
      </c>
      <c r="E157" s="17" t="str" cm="1">
        <f t="array" ref="E157">IF($F157="Information Disclosure",Formatação!H$5,IF($F157="Repudiation",Formatação!H$4,IF($F157="Spoofing",Formatação!H$2,IF($F157="Tampering",Formatação!H$3, IF($F157="Denial of Service",Formatação!H$6,IF($F157="Elevation of Privilege",Formatação!H$7,IF($F157="Lateral Movement",Formatação!H$8,Errado)))))))</f>
        <v>Disponibilidade</v>
      </c>
      <c r="F157" s="17" t="s">
        <v>239</v>
      </c>
      <c r="G157" s="17" t="str" cm="1">
        <f t="array" ref="G157">IF($F157="Information Disclosure",Formatação!J$5,IF($F157="Repudiation",Formatação!J$4,IF($F157="Spoofing",Formatação!J$2,IF($F157="Tampering",Formatação!J$3, IF($F157="Denial of Service",Formatação!J$6,IF($F157="Elevation of Privilege",Formatação!J$7,IF($F157="Lateral Movement",Formatação!J$8,Errado)))))))</f>
        <v>Indisponibilidade</v>
      </c>
      <c r="H157" s="17" t="s">
        <v>375</v>
      </c>
      <c r="I157" s="17" t="s">
        <v>964</v>
      </c>
      <c r="J157" s="17" t="s">
        <v>965</v>
      </c>
      <c r="K157" s="17" t="s">
        <v>847</v>
      </c>
      <c r="L157" s="17" t="s">
        <v>847</v>
      </c>
      <c r="M157" s="17" t="s">
        <v>847</v>
      </c>
      <c r="N157" s="17" t="s">
        <v>1293</v>
      </c>
      <c r="O157" s="17" t="s">
        <v>848</v>
      </c>
      <c r="P157" s="17" t="s">
        <v>848</v>
      </c>
      <c r="Q157" s="17" t="s">
        <v>849</v>
      </c>
      <c r="R157" s="17" t="s">
        <v>849</v>
      </c>
      <c r="S157" s="17" t="s">
        <v>849</v>
      </c>
      <c r="T157" s="17" t="s">
        <v>849</v>
      </c>
      <c r="U157" s="17" t="s">
        <v>849</v>
      </c>
      <c r="V157" s="17" t="s">
        <v>850</v>
      </c>
      <c r="W157" s="17">
        <f t="shared" si="10"/>
        <v>18</v>
      </c>
      <c r="X157" s="17" t="str">
        <f t="shared" si="11"/>
        <v>Alto</v>
      </c>
      <c r="Y157" s="17" t="s">
        <v>2349</v>
      </c>
      <c r="Z157" s="17" t="s">
        <v>2350</v>
      </c>
      <c r="AA157" s="17" t="s">
        <v>2356</v>
      </c>
      <c r="AB157" s="17" t="s">
        <v>966</v>
      </c>
      <c r="AC157" s="17"/>
      <c r="AD157" s="17"/>
      <c r="AE157" s="77" t="s">
        <v>16</v>
      </c>
    </row>
    <row r="158" spans="1:31" ht="35.25" customHeight="1">
      <c r="A158" s="21" t="s">
        <v>2359</v>
      </c>
      <c r="B158" s="53" t="s">
        <v>1078</v>
      </c>
      <c r="C158" s="17" t="s">
        <v>1079</v>
      </c>
      <c r="D158" s="17" t="s">
        <v>1324</v>
      </c>
      <c r="E158" s="17" t="str" cm="1">
        <f t="array" ref="E158">IF($F158="Information Disclosure",Formatação!H$5,IF($F158="Repudiation",Formatação!H$4,IF($F158="Spoofing",Formatação!H$2,IF($F158="Tampering",Formatação!H$3, IF($F158="Denial of Service",Formatação!H$6,IF($F158="Elevation of Privilege",Formatação!H$7,IF($F158="Lateral Movement",Formatação!H$8,Errado)))))))</f>
        <v>Disponibilidade</v>
      </c>
      <c r="F158" s="17" t="s">
        <v>239</v>
      </c>
      <c r="G158" s="17" t="str" cm="1">
        <f t="array" ref="G158">IF($F158="Information Disclosure",Formatação!J$5,IF($F158="Repudiation",Formatação!J$4,IF($F158="Spoofing",Formatação!J$2,IF($F158="Tampering",Formatação!J$3, IF($F158="Denial of Service",Formatação!J$6,IF($F158="Elevation of Privilege",Formatação!J$7,IF($F158="Lateral Movement",Formatação!J$8,Errado)))))))</f>
        <v>Indisponibilidade</v>
      </c>
      <c r="H158" s="17" t="s">
        <v>375</v>
      </c>
      <c r="I158" s="17" t="s">
        <v>964</v>
      </c>
      <c r="J158" s="17" t="s">
        <v>965</v>
      </c>
      <c r="K158" s="17" t="s">
        <v>847</v>
      </c>
      <c r="L158" s="17" t="s">
        <v>847</v>
      </c>
      <c r="M158" s="17" t="s">
        <v>847</v>
      </c>
      <c r="N158" s="17" t="s">
        <v>847</v>
      </c>
      <c r="O158" s="17" t="s">
        <v>848</v>
      </c>
      <c r="P158" s="17" t="s">
        <v>848</v>
      </c>
      <c r="Q158" s="17" t="s">
        <v>849</v>
      </c>
      <c r="R158" s="17" t="s">
        <v>849</v>
      </c>
      <c r="S158" s="17" t="s">
        <v>849</v>
      </c>
      <c r="T158" s="17" t="s">
        <v>849</v>
      </c>
      <c r="U158" s="17" t="s">
        <v>849</v>
      </c>
      <c r="V158" s="17" t="s">
        <v>850</v>
      </c>
      <c r="W158" s="17">
        <f t="shared" si="10"/>
        <v>18</v>
      </c>
      <c r="X158" s="17" t="str">
        <f t="shared" si="11"/>
        <v>Alto</v>
      </c>
      <c r="Y158" s="17" t="s">
        <v>851</v>
      </c>
      <c r="Z158" s="17" t="e" vm="1">
        <f>VLOOKUP(Tabela7[[#This Row],[Controle]],[1]!Tabela135[#Data],33,FALSE)</f>
        <v>#REF!</v>
      </c>
      <c r="AA158" s="17" t="e" vm="1">
        <f>VLOOKUP(Tabela7[[#This Row],[Controle]],[1]!Tabela135[#Data],34,FALSE)</f>
        <v>#REF!</v>
      </c>
      <c r="AB158" s="17" t="s">
        <v>966</v>
      </c>
      <c r="AC158" s="17"/>
      <c r="AD158" s="17"/>
      <c r="AE158" s="77" t="s">
        <v>16</v>
      </c>
    </row>
    <row r="159" spans="1:31" ht="35.25" customHeight="1">
      <c r="A159" s="21" t="s">
        <v>2360</v>
      </c>
      <c r="B159" s="53" t="s">
        <v>1081</v>
      </c>
      <c r="C159" s="17" t="s">
        <v>1082</v>
      </c>
      <c r="D159" s="17" t="s">
        <v>1324</v>
      </c>
      <c r="E159" s="17" t="str" cm="1">
        <f t="array" ref="E159">IF($F159="Information Disclosure",Formatação!H$5,IF($F159="Repudiation",Formatação!H$4,IF($F159="Spoofing",Formatação!H$2,IF($F159="Tampering",Formatação!H$3, IF($F159="Denial of Service",Formatação!H$6,IF($F159="Elevation of Privilege",Formatação!H$7,IF($F159="Lateral Movement",Formatação!H$8,Errado)))))))</f>
        <v>Disponibilidade</v>
      </c>
      <c r="F159" s="17" t="s">
        <v>239</v>
      </c>
      <c r="G159" s="17" t="str" cm="1">
        <f t="array" ref="G159">IF($F159="Information Disclosure",Formatação!J$5,IF($F159="Repudiation",Formatação!J$4,IF($F159="Spoofing",Formatação!J$2,IF($F159="Tampering",Formatação!J$3, IF($F159="Denial of Service",Formatação!J$6,IF($F159="Elevation of Privilege",Formatação!J$7,IF($F159="Lateral Movement",Formatação!J$8,Errado)))))))</f>
        <v>Indisponibilidade</v>
      </c>
      <c r="H159" s="17" t="s">
        <v>375</v>
      </c>
      <c r="I159" s="17" t="s">
        <v>964</v>
      </c>
      <c r="J159" s="17" t="s">
        <v>965</v>
      </c>
      <c r="K159" s="17" t="s">
        <v>847</v>
      </c>
      <c r="L159" s="17" t="s">
        <v>847</v>
      </c>
      <c r="M159" s="17" t="s">
        <v>847</v>
      </c>
      <c r="N159" s="17" t="s">
        <v>847</v>
      </c>
      <c r="O159" s="17" t="s">
        <v>849</v>
      </c>
      <c r="P159" s="17" t="s">
        <v>849</v>
      </c>
      <c r="Q159" s="17" t="s">
        <v>849</v>
      </c>
      <c r="R159" s="17" t="s">
        <v>849</v>
      </c>
      <c r="S159" s="17" t="s">
        <v>849</v>
      </c>
      <c r="T159" s="17" t="s">
        <v>849</v>
      </c>
      <c r="U159" s="17" t="s">
        <v>849</v>
      </c>
      <c r="V159" s="17" t="s">
        <v>849</v>
      </c>
      <c r="W159" s="17">
        <f t="shared" si="10"/>
        <v>16</v>
      </c>
      <c r="X159" s="17" t="str">
        <f t="shared" si="11"/>
        <v>Alto</v>
      </c>
      <c r="Y159" s="17" t="s">
        <v>862</v>
      </c>
      <c r="Z159" s="17" t="e" vm="1">
        <f>VLOOKUP(Tabela7[[#This Row],[Controle]],[1]!Tabela135[#Data],33,FALSE)</f>
        <v>#REF!</v>
      </c>
      <c r="AA159" s="17" t="e" vm="1">
        <f>VLOOKUP(Tabela7[[#This Row],[Controle]],[1]!Tabela135[#Data],34,FALSE)</f>
        <v>#REF!</v>
      </c>
      <c r="AB159" s="17" t="s">
        <v>966</v>
      </c>
      <c r="AC159" s="17"/>
      <c r="AD159" s="17"/>
      <c r="AE159" s="77" t="s">
        <v>16</v>
      </c>
    </row>
    <row r="160" spans="1:31" ht="35.25" customHeight="1">
      <c r="A160" s="21" t="s">
        <v>2361</v>
      </c>
      <c r="B160" s="53" t="s">
        <v>1084</v>
      </c>
      <c r="C160" s="17" t="s">
        <v>1085</v>
      </c>
      <c r="D160" s="17" t="s">
        <v>1324</v>
      </c>
      <c r="E160" s="17" t="str" cm="1">
        <f t="array" ref="E160">IF($F160="Information Disclosure",Formatação!H$5,IF($F160="Repudiation",Formatação!H$4,IF($F160="Spoofing",Formatação!H$2,IF($F160="Tampering",Formatação!H$3, IF($F160="Denial of Service",Formatação!H$6,IF($F160="Elevation of Privilege",Formatação!H$7,IF($F160="Lateral Movement",Formatação!H$8,Errado)))))))</f>
        <v>Disponibilidade</v>
      </c>
      <c r="F160" s="17" t="s">
        <v>239</v>
      </c>
      <c r="G160" s="17" t="str" cm="1">
        <f t="array" ref="G160">IF($F160="Information Disclosure",Formatação!J$5,IF($F160="Repudiation",Formatação!J$4,IF($F160="Spoofing",Formatação!J$2,IF($F160="Tampering",Formatação!J$3, IF($F160="Denial of Service",Formatação!J$6,IF($F160="Elevation of Privilege",Formatação!J$7,IF($F160="Lateral Movement",Formatação!J$8,Errado)))))))</f>
        <v>Indisponibilidade</v>
      </c>
      <c r="H160" s="17" t="s">
        <v>375</v>
      </c>
      <c r="I160" s="17" t="s">
        <v>964</v>
      </c>
      <c r="J160" s="17" t="s">
        <v>965</v>
      </c>
      <c r="K160" s="17" t="s">
        <v>847</v>
      </c>
      <c r="L160" s="17" t="s">
        <v>847</v>
      </c>
      <c r="M160" s="17" t="s">
        <v>847</v>
      </c>
      <c r="N160" s="17" t="s">
        <v>847</v>
      </c>
      <c r="O160" s="17" t="s">
        <v>848</v>
      </c>
      <c r="P160" s="17" t="s">
        <v>849</v>
      </c>
      <c r="Q160" s="17" t="s">
        <v>849</v>
      </c>
      <c r="R160" s="17" t="s">
        <v>849</v>
      </c>
      <c r="S160" s="17" t="s">
        <v>849</v>
      </c>
      <c r="T160" s="17" t="s">
        <v>849</v>
      </c>
      <c r="U160" s="17" t="s">
        <v>849</v>
      </c>
      <c r="V160" s="17" t="s">
        <v>849</v>
      </c>
      <c r="W160" s="17">
        <f t="shared" si="10"/>
        <v>17</v>
      </c>
      <c r="X160" s="17" t="str">
        <f t="shared" si="11"/>
        <v>Alto</v>
      </c>
      <c r="Y160" s="17" t="s">
        <v>1704</v>
      </c>
      <c r="Z160" s="17" t="s">
        <v>2350</v>
      </c>
      <c r="AA160" s="17" t="s">
        <v>2356</v>
      </c>
      <c r="AB160" s="17" t="s">
        <v>966</v>
      </c>
      <c r="AC160" s="17"/>
      <c r="AD160" s="17"/>
      <c r="AE160" s="77" t="s">
        <v>16</v>
      </c>
    </row>
    <row r="161" spans="1:31" ht="35.25" customHeight="1">
      <c r="A161" s="21" t="s">
        <v>2362</v>
      </c>
      <c r="B161" s="53" t="s">
        <v>991</v>
      </c>
      <c r="C161" s="17" t="s">
        <v>992</v>
      </c>
      <c r="D161" s="17" t="s">
        <v>964</v>
      </c>
      <c r="E161" s="17" t="str" cm="1">
        <f t="array" ref="E161">IF($F161="Information Disclosure",Formatação!H$5,IF($F161="Repudiation",Formatação!H$4,IF($F161="Spoofing",Formatação!H$2,IF($F161="Tampering",Formatação!H$3, IF($F161="Denial of Service",Formatação!H$6,IF($F161="Elevation of Privilege",Formatação!H$7,IF($F161="Lateral Movement",Formatação!H$8,Errado)))))))</f>
        <v>Confidencialidade</v>
      </c>
      <c r="F161" s="17" t="s">
        <v>35</v>
      </c>
      <c r="G161" s="17" t="str" cm="1">
        <f t="array" ref="G161">IF($F161="Information Disclosure",Formatação!J$5,IF($F161="Repudiation",Formatação!J$4,IF($F161="Spoofing",Formatação!J$2,IF($F161="Tampering",Formatação!J$3, IF($F161="Denial of Service",Formatação!J$6,IF($F161="Elevation of Privilege",Formatação!J$7,IF($F161="Lateral Movement",Formatação!J$8,Errado)))))))</f>
        <v>Vazamento de dados</v>
      </c>
      <c r="H161" s="17" t="s">
        <v>14</v>
      </c>
      <c r="I161" s="17" t="s">
        <v>231</v>
      </c>
      <c r="J161" s="17" t="s">
        <v>364</v>
      </c>
      <c r="K161" s="17" t="s">
        <v>1293</v>
      </c>
      <c r="L161" s="17" t="s">
        <v>847</v>
      </c>
      <c r="M161" s="17" t="s">
        <v>847</v>
      </c>
      <c r="N161" s="17" t="s">
        <v>1293</v>
      </c>
      <c r="O161" s="17" t="s">
        <v>849</v>
      </c>
      <c r="P161" s="17" t="s">
        <v>849</v>
      </c>
      <c r="Q161" s="17" t="s">
        <v>848</v>
      </c>
      <c r="R161" s="17" t="s">
        <v>849</v>
      </c>
      <c r="S161" s="17" t="s">
        <v>849</v>
      </c>
      <c r="T161" s="17" t="s">
        <v>849</v>
      </c>
      <c r="U161" s="17" t="s">
        <v>849</v>
      </c>
      <c r="V161" s="17" t="s">
        <v>850</v>
      </c>
      <c r="W161" s="17">
        <f t="shared" si="10"/>
        <v>17</v>
      </c>
      <c r="X161" s="17" t="str">
        <f t="shared" si="11"/>
        <v>Alto</v>
      </c>
      <c r="Y161" s="17" t="s">
        <v>851</v>
      </c>
      <c r="Z161" s="17" t="e" vm="1">
        <f>VLOOKUP(Tabela7[[#This Row],[Controle]],[1]!Tabela135[#Data],33,FALSE)</f>
        <v>#REF!</v>
      </c>
      <c r="AA161" s="17" t="e" vm="1">
        <f>VLOOKUP(Tabela7[[#This Row],[Controle]],[1]!Tabela135[#Data],34,FALSE)</f>
        <v>#REF!</v>
      </c>
      <c r="AB161" s="17" t="s">
        <v>993</v>
      </c>
      <c r="AC161" s="17"/>
      <c r="AD161" s="17"/>
      <c r="AE161" s="17"/>
    </row>
    <row r="162" spans="1:31" ht="35.25" customHeight="1">
      <c r="A162" s="21" t="s">
        <v>2363</v>
      </c>
      <c r="B162" s="53" t="s">
        <v>2364</v>
      </c>
      <c r="C162" s="17" t="s">
        <v>996</v>
      </c>
      <c r="D162" s="17" t="s">
        <v>964</v>
      </c>
      <c r="E162" s="17" t="str" cm="1">
        <f t="array" ref="E162">IF($F162="Information Disclosure",Formatação!H$5,IF($F162="Repudiation",Formatação!H$4,IF($F162="Spoofing",Formatação!H$2,IF($F162="Tampering",Formatação!H$3, IF($F162="Denial of Service",Formatação!H$6,IF($F162="Elevation of Privilege",Formatação!H$7,IF($F162="Lateral Movement",Formatação!H$8,Errado)))))))</f>
        <v>Confidencialidade</v>
      </c>
      <c r="F162" s="17" t="s">
        <v>35</v>
      </c>
      <c r="G162" s="17" t="str" cm="1">
        <f t="array" ref="G162">IF($F162="Information Disclosure",Formatação!J$5,IF($F162="Repudiation",Formatação!J$4,IF($F162="Spoofing",Formatação!J$2,IF($F162="Tampering",Formatação!J$3, IF($F162="Denial of Service",Formatação!J$6,IF($F162="Elevation of Privilege",Formatação!J$7,IF($F162="Lateral Movement",Formatação!J$8,Errado)))))))</f>
        <v>Vazamento de dados</v>
      </c>
      <c r="H162" s="17" t="s">
        <v>375</v>
      </c>
      <c r="I162" s="17" t="s">
        <v>231</v>
      </c>
      <c r="J162" s="17" t="s">
        <v>364</v>
      </c>
      <c r="K162" s="17" t="s">
        <v>1293</v>
      </c>
      <c r="L162" s="17" t="s">
        <v>847</v>
      </c>
      <c r="M162" s="17" t="s">
        <v>847</v>
      </c>
      <c r="N162" s="17" t="s">
        <v>1293</v>
      </c>
      <c r="O162" s="17" t="s">
        <v>849</v>
      </c>
      <c r="P162" s="17" t="s">
        <v>849</v>
      </c>
      <c r="Q162" s="17" t="s">
        <v>848</v>
      </c>
      <c r="R162" s="17" t="s">
        <v>849</v>
      </c>
      <c r="S162" s="17" t="s">
        <v>849</v>
      </c>
      <c r="T162" s="17" t="s">
        <v>849</v>
      </c>
      <c r="U162" s="17" t="s">
        <v>849</v>
      </c>
      <c r="V162" s="17" t="s">
        <v>1614</v>
      </c>
      <c r="W162" s="17">
        <f t="shared" si="10"/>
        <v>15</v>
      </c>
      <c r="X162" s="17" t="str">
        <f t="shared" si="11"/>
        <v>Alto</v>
      </c>
      <c r="Y162" s="17" t="s">
        <v>862</v>
      </c>
      <c r="Z162" s="17" t="s">
        <v>2365</v>
      </c>
      <c r="AA162" s="17" t="s">
        <v>2366</v>
      </c>
      <c r="AB162" s="17" t="s">
        <v>993</v>
      </c>
      <c r="AC162" s="17"/>
      <c r="AD162" s="17"/>
      <c r="AE162" s="17"/>
    </row>
    <row r="163" spans="1:31" ht="35.25" customHeight="1">
      <c r="A163" s="21" t="s">
        <v>2367</v>
      </c>
      <c r="B163" s="53" t="s">
        <v>2368</v>
      </c>
      <c r="C163" s="17" t="s">
        <v>999</v>
      </c>
      <c r="D163" s="17" t="s">
        <v>964</v>
      </c>
      <c r="E163" s="17" t="str" cm="1">
        <f t="array" ref="E163">IF($F163="Information Disclosure",Formatação!H$5,IF($F163="Repudiation",Formatação!H$4,IF($F163="Spoofing",Formatação!H$2,IF($F163="Tampering",Formatação!H$3, IF($F163="Denial of Service",Formatação!H$6,IF($F163="Elevation of Privilege",Formatação!H$7,IF($F163="Lateral Movement",Formatação!H$8,Errado)))))))</f>
        <v>Não repúdio</v>
      </c>
      <c r="F163" s="17" t="s">
        <v>32</v>
      </c>
      <c r="G163" s="17" t="str" cm="1">
        <f t="array" ref="G163">IF($F163="Information Disclosure",Formatação!J$5,IF($F163="Repudiation",Formatação!J$4,IF($F163="Spoofing",Formatação!J$2,IF($F163="Tampering",Formatação!J$3, IF($F163="Denial of Service",Formatação!J$6,IF($F163="Elevation of Privilege",Formatação!J$7,IF($F163="Lateral Movement",Formatação!J$8,Errado)))))))</f>
        <v>Regulatório/Compliance</v>
      </c>
      <c r="H163" s="17" t="s">
        <v>375</v>
      </c>
      <c r="I163" s="17" t="s">
        <v>943</v>
      </c>
      <c r="J163" s="17" t="s">
        <v>944</v>
      </c>
      <c r="K163" s="17" t="s">
        <v>847</v>
      </c>
      <c r="L163" s="17" t="s">
        <v>847</v>
      </c>
      <c r="M163" s="17" t="s">
        <v>847</v>
      </c>
      <c r="N163" s="17" t="s">
        <v>847</v>
      </c>
      <c r="O163" s="17" t="s">
        <v>849</v>
      </c>
      <c r="P163" s="17" t="s">
        <v>848</v>
      </c>
      <c r="Q163" s="17" t="s">
        <v>2155</v>
      </c>
      <c r="R163" s="17" t="s">
        <v>849</v>
      </c>
      <c r="S163" s="17" t="s">
        <v>849</v>
      </c>
      <c r="T163" s="17" t="s">
        <v>849</v>
      </c>
      <c r="U163" s="17" t="s">
        <v>849</v>
      </c>
      <c r="V163" s="17" t="s">
        <v>1614</v>
      </c>
      <c r="W163" s="17">
        <f t="shared" si="10"/>
        <v>15</v>
      </c>
      <c r="X163" s="17" t="str">
        <f t="shared" si="11"/>
        <v>Alto</v>
      </c>
      <c r="Y163" s="17" t="s">
        <v>851</v>
      </c>
      <c r="Z163" s="17" t="s">
        <v>2369</v>
      </c>
      <c r="AA163" s="17" t="s">
        <v>2370</v>
      </c>
      <c r="AB163" s="17" t="s">
        <v>966</v>
      </c>
      <c r="AC163" s="17"/>
      <c r="AD163" s="17"/>
      <c r="AE163" s="17"/>
    </row>
    <row r="164" spans="1:31" ht="35.25" customHeight="1">
      <c r="A164" s="21" t="s">
        <v>2371</v>
      </c>
      <c r="B164" s="53" t="s">
        <v>2372</v>
      </c>
      <c r="C164" s="17" t="s">
        <v>1003</v>
      </c>
      <c r="D164" s="17" t="s">
        <v>964</v>
      </c>
      <c r="E164" s="17" t="str" cm="1">
        <f t="array" ref="E164">IF($F164="Information Disclosure",Formatação!H$5,IF($F164="Repudiation",Formatação!H$4,IF($F164="Spoofing",Formatação!H$2,IF($F164="Tampering",Formatação!H$3, IF($F164="Denial of Service",Formatação!H$6,IF($F164="Elevation of Privilege",Formatação!H$7,IF($F164="Lateral Movement",Formatação!H$8,Errado)))))))</f>
        <v>Disponibilidade</v>
      </c>
      <c r="F164" s="17" t="s">
        <v>239</v>
      </c>
      <c r="G164" s="17" t="str" cm="1">
        <f t="array" ref="G164">IF($F164="Information Disclosure",Formatação!J$5,IF($F164="Repudiation",Formatação!J$4,IF($F164="Spoofing",Formatação!J$2,IF($F164="Tampering",Formatação!J$3, IF($F164="Denial of Service",Formatação!J$6,IF($F164="Elevation of Privilege",Formatação!J$7,IF($F164="Lateral Movement",Formatação!J$8,Errado)))))))</f>
        <v>Indisponibilidade</v>
      </c>
      <c r="H164" s="17" t="s">
        <v>375</v>
      </c>
      <c r="I164" s="17" t="s">
        <v>943</v>
      </c>
      <c r="J164" s="17" t="s">
        <v>364</v>
      </c>
      <c r="K164" s="17" t="s">
        <v>1293</v>
      </c>
      <c r="L164" s="17" t="s">
        <v>847</v>
      </c>
      <c r="M164" s="17" t="s">
        <v>847</v>
      </c>
      <c r="N164" s="17" t="s">
        <v>847</v>
      </c>
      <c r="O164" s="17" t="s">
        <v>849</v>
      </c>
      <c r="P164" s="17" t="s">
        <v>849</v>
      </c>
      <c r="Q164" s="17" t="s">
        <v>848</v>
      </c>
      <c r="R164" s="17" t="s">
        <v>849</v>
      </c>
      <c r="S164" s="17" t="s">
        <v>849</v>
      </c>
      <c r="T164" s="17" t="s">
        <v>849</v>
      </c>
      <c r="U164" s="17" t="s">
        <v>849</v>
      </c>
      <c r="V164" s="17" t="s">
        <v>1614</v>
      </c>
      <c r="W164" s="17">
        <f t="shared" si="10"/>
        <v>15</v>
      </c>
      <c r="X164" s="17" t="str">
        <f t="shared" si="11"/>
        <v>Alto</v>
      </c>
      <c r="Y164" s="17" t="s">
        <v>851</v>
      </c>
      <c r="Z164" s="17" t="s">
        <v>2373</v>
      </c>
      <c r="AA164" s="17" t="s">
        <v>2374</v>
      </c>
      <c r="AB164" s="17" t="s">
        <v>966</v>
      </c>
      <c r="AC164" s="17"/>
      <c r="AD164" s="17"/>
      <c r="AE164" s="17"/>
    </row>
    <row r="165" spans="1:31" ht="35.25" customHeight="1">
      <c r="A165" s="21" t="s">
        <v>2375</v>
      </c>
      <c r="B165" s="53" t="s">
        <v>1060</v>
      </c>
      <c r="C165" s="17" t="s">
        <v>1061</v>
      </c>
      <c r="D165" s="17" t="s">
        <v>964</v>
      </c>
      <c r="E165" s="17" t="str" cm="1">
        <f t="array" ref="E165">IF($F165="Information Disclosure",Formatação!H$5,IF($F165="Repudiation",Formatação!H$4,IF($F165="Spoofing",Formatação!H$2,IF($F165="Tampering",Formatação!H$3, IF($F165="Denial of Service",Formatação!H$6,IF($F165="Elevation of Privilege",Formatação!H$7,IF($F165="Lateral Movement",Formatação!H$8,Errado)))))))</f>
        <v>Confidencialidade</v>
      </c>
      <c r="F165" s="17" t="s">
        <v>35</v>
      </c>
      <c r="G165" s="17" t="str" cm="1">
        <f t="array" ref="G165">IF($F165="Information Disclosure",Formatação!J$5,IF($F165="Repudiation",Formatação!J$4,IF($F165="Spoofing",Formatação!J$2,IF($F165="Tampering",Formatação!J$3, IF($F165="Denial of Service",Formatação!J$6,IF($F165="Elevation of Privilege",Formatação!J$7,IF($F165="Lateral Movement",Formatação!J$8,Errado)))))))</f>
        <v>Vazamento de dados</v>
      </c>
      <c r="H165" s="17" t="s">
        <v>375</v>
      </c>
      <c r="I165" s="17" t="s">
        <v>951</v>
      </c>
      <c r="J165" s="17" t="s">
        <v>944</v>
      </c>
      <c r="K165" s="17" t="s">
        <v>847</v>
      </c>
      <c r="L165" s="17" t="s">
        <v>847</v>
      </c>
      <c r="M165" s="17" t="s">
        <v>847</v>
      </c>
      <c r="N165" s="17" t="s">
        <v>847</v>
      </c>
      <c r="O165" s="17" t="s">
        <v>1614</v>
      </c>
      <c r="P165" s="17" t="s">
        <v>848</v>
      </c>
      <c r="Q165" s="17" t="s">
        <v>848</v>
      </c>
      <c r="R165" s="17" t="s">
        <v>849</v>
      </c>
      <c r="S165" s="17" t="s">
        <v>849</v>
      </c>
      <c r="T165" s="17" t="s">
        <v>849</v>
      </c>
      <c r="U165" s="17" t="s">
        <v>849</v>
      </c>
      <c r="V165" s="17" t="s">
        <v>1614</v>
      </c>
      <c r="W165" s="17">
        <f t="shared" si="10"/>
        <v>14</v>
      </c>
      <c r="X165" s="17" t="str">
        <f t="shared" si="11"/>
        <v>Moderado</v>
      </c>
      <c r="Y165" s="17" t="s">
        <v>851</v>
      </c>
      <c r="Z165" s="17" t="s">
        <v>2376</v>
      </c>
      <c r="AA165" s="17" t="s">
        <v>2377</v>
      </c>
      <c r="AB165" s="17" t="s">
        <v>966</v>
      </c>
      <c r="AC165" s="17"/>
      <c r="AD165" s="17"/>
      <c r="AE165" s="77" t="s">
        <v>16</v>
      </c>
    </row>
    <row r="166" spans="1:31" ht="35.25" customHeight="1">
      <c r="A166" s="21" t="s">
        <v>2378</v>
      </c>
      <c r="B166" s="53" t="s">
        <v>2379</v>
      </c>
      <c r="C166" s="17" t="s">
        <v>1088</v>
      </c>
      <c r="D166" s="17" t="s">
        <v>964</v>
      </c>
      <c r="E166" s="17" t="str" cm="1">
        <f t="array" ref="E166">IF($F166="Information Disclosure",Formatação!H$5,IF($F166="Repudiation",Formatação!H$4,IF($F166="Spoofing",Formatação!H$2,IF($F166="Tampering",Formatação!H$3, IF($F166="Denial of Service",Formatação!H$6,IF($F166="Elevation of Privilege",Formatação!H$7,IF($F166="Lateral Movement",Formatação!H$8,Errado)))))))</f>
        <v>Confidencialidade</v>
      </c>
      <c r="F166" s="17" t="s">
        <v>35</v>
      </c>
      <c r="G166" s="17" t="str" cm="1">
        <f t="array" ref="G166">IF($F166="Information Disclosure",Formatação!J$5,IF($F166="Repudiation",Formatação!J$4,IF($F166="Spoofing",Formatação!J$2,IF($F166="Tampering",Formatação!J$3, IF($F166="Denial of Service",Formatação!J$6,IF($F166="Elevation of Privilege",Formatação!J$7,IF($F166="Lateral Movement",Formatação!J$8,Errado)))))))</f>
        <v>Vazamento de dados</v>
      </c>
      <c r="H166" s="17" t="s">
        <v>375</v>
      </c>
      <c r="I166" s="17" t="s">
        <v>964</v>
      </c>
      <c r="J166" s="17" t="s">
        <v>944</v>
      </c>
      <c r="K166" s="17" t="s">
        <v>847</v>
      </c>
      <c r="L166" s="17" t="s">
        <v>847</v>
      </c>
      <c r="M166" s="17" t="s">
        <v>847</v>
      </c>
      <c r="N166" s="17" t="s">
        <v>847</v>
      </c>
      <c r="O166" s="17" t="s">
        <v>1614</v>
      </c>
      <c r="P166" s="17" t="s">
        <v>849</v>
      </c>
      <c r="Q166" s="17" t="s">
        <v>848</v>
      </c>
      <c r="R166" s="17" t="s">
        <v>849</v>
      </c>
      <c r="S166" s="17" t="s">
        <v>849</v>
      </c>
      <c r="T166" s="17" t="s">
        <v>849</v>
      </c>
      <c r="U166" s="17" t="s">
        <v>849</v>
      </c>
      <c r="V166" s="17" t="s">
        <v>1614</v>
      </c>
      <c r="W166" s="17">
        <f t="shared" si="10"/>
        <v>13</v>
      </c>
      <c r="X166" s="17" t="str">
        <f t="shared" si="11"/>
        <v>Moderado</v>
      </c>
      <c r="Y166" s="17" t="s">
        <v>851</v>
      </c>
      <c r="Z166" s="17" t="s">
        <v>2380</v>
      </c>
      <c r="AA166" s="17" t="s">
        <v>2381</v>
      </c>
      <c r="AB166" s="17" t="s">
        <v>966</v>
      </c>
      <c r="AC166" s="17"/>
      <c r="AD166" s="17"/>
      <c r="AE166" s="77" t="s">
        <v>16</v>
      </c>
    </row>
    <row r="167" spans="1:31" ht="35.25" customHeight="1">
      <c r="A167" s="21" t="s">
        <v>2382</v>
      </c>
      <c r="B167" s="53" t="s">
        <v>1090</v>
      </c>
      <c r="C167" s="17" t="s">
        <v>1091</v>
      </c>
      <c r="D167" s="17" t="s">
        <v>964</v>
      </c>
      <c r="E167" s="17" t="str" cm="1">
        <f t="array" ref="E167">IF($F167="Information Disclosure",Formatação!H$5,IF($F167="Repudiation",Formatação!H$4,IF($F167="Spoofing",Formatação!H$2,IF($F167="Tampering",Formatação!H$3, IF($F167="Denial of Service",Formatação!H$6,IF($F167="Elevation of Privilege",Formatação!H$7,IF($F167="Lateral Movement",Formatação!H$8,Errado)))))))</f>
        <v>Não repúdio</v>
      </c>
      <c r="F167" s="17" t="s">
        <v>32</v>
      </c>
      <c r="G167" s="17" t="str" cm="1">
        <f t="array" ref="G167">IF($F167="Information Disclosure",Formatação!J$5,IF($F167="Repudiation",Formatação!J$4,IF($F167="Spoofing",Formatação!J$2,IF($F167="Tampering",Formatação!J$3, IF($F167="Denial of Service",Formatação!J$6,IF($F167="Elevation of Privilege",Formatação!J$7,IF($F167="Lateral Movement",Formatação!J$8,Errado)))))))</f>
        <v>Regulatório/Compliance</v>
      </c>
      <c r="H167" s="17" t="s">
        <v>375</v>
      </c>
      <c r="I167" s="17" t="s">
        <v>964</v>
      </c>
      <c r="J167" s="17" t="s">
        <v>944</v>
      </c>
      <c r="K167" s="17" t="s">
        <v>847</v>
      </c>
      <c r="L167" s="17" t="s">
        <v>847</v>
      </c>
      <c r="M167" s="17" t="s">
        <v>847</v>
      </c>
      <c r="N167" s="17" t="s">
        <v>847</v>
      </c>
      <c r="O167" s="17" t="s">
        <v>1614</v>
      </c>
      <c r="P167" s="17" t="s">
        <v>849</v>
      </c>
      <c r="Q167" s="17" t="s">
        <v>849</v>
      </c>
      <c r="R167" s="17" t="s">
        <v>849</v>
      </c>
      <c r="S167" s="17" t="s">
        <v>849</v>
      </c>
      <c r="T167" s="17" t="s">
        <v>849</v>
      </c>
      <c r="U167" s="17" t="s">
        <v>849</v>
      </c>
      <c r="V167" s="17" t="s">
        <v>849</v>
      </c>
      <c r="W167" s="17">
        <f t="shared" si="10"/>
        <v>14</v>
      </c>
      <c r="X167" s="17" t="str">
        <f t="shared" si="11"/>
        <v>Moderado</v>
      </c>
      <c r="Y167" s="17" t="s">
        <v>862</v>
      </c>
      <c r="Z167" s="17" t="s">
        <v>2350</v>
      </c>
      <c r="AA167" s="17" t="s">
        <v>2383</v>
      </c>
      <c r="AB167" s="17" t="s">
        <v>966</v>
      </c>
      <c r="AC167" s="17"/>
      <c r="AD167" s="17"/>
      <c r="AE167" s="77" t="s">
        <v>16</v>
      </c>
    </row>
    <row r="168" spans="1:31" ht="35.25" customHeight="1">
      <c r="A168" s="21" t="s">
        <v>2384</v>
      </c>
      <c r="B168" s="53" t="s">
        <v>1093</v>
      </c>
      <c r="C168" s="17" t="s">
        <v>1094</v>
      </c>
      <c r="D168" s="17" t="s">
        <v>964</v>
      </c>
      <c r="E168" s="17" t="str" cm="1">
        <f t="array" ref="E168">IF($F168="Information Disclosure",Formatação!H$5,IF($F168="Repudiation",Formatação!H$4,IF($F168="Spoofing",Formatação!H$2,IF($F168="Tampering",Formatação!H$3, IF($F168="Denial of Service",Formatação!H$6,IF($F168="Elevation of Privilege",Formatação!H$7,IF($F168="Lateral Movement",Formatação!H$8,Errado)))))))</f>
        <v>Não repúdio</v>
      </c>
      <c r="F168" s="26" t="s">
        <v>32</v>
      </c>
      <c r="G168" s="17" t="str" cm="1">
        <f t="array" ref="G168">IF($F168="Information Disclosure",Formatação!J$5,IF($F168="Repudiation",Formatação!J$4,IF($F168="Spoofing",Formatação!J$2,IF($F168="Tampering",Formatação!J$3, IF($F168="Denial of Service",Formatação!J$6,IF($F168="Elevation of Privilege",Formatação!J$7,IF($F168="Lateral Movement",Formatação!J$8,Errado)))))))</f>
        <v>Regulatório/Compliance</v>
      </c>
      <c r="H168" s="26" t="s">
        <v>375</v>
      </c>
      <c r="I168" s="26" t="s">
        <v>964</v>
      </c>
      <c r="J168" s="26" t="s">
        <v>944</v>
      </c>
      <c r="K168" s="17" t="s">
        <v>847</v>
      </c>
      <c r="L168" s="17" t="s">
        <v>847</v>
      </c>
      <c r="M168" s="17" t="s">
        <v>847</v>
      </c>
      <c r="N168" s="17" t="s">
        <v>847</v>
      </c>
      <c r="O168" s="17" t="s">
        <v>849</v>
      </c>
      <c r="P168" s="17" t="s">
        <v>849</v>
      </c>
      <c r="Q168" s="17" t="s">
        <v>849</v>
      </c>
      <c r="R168" s="17" t="s">
        <v>849</v>
      </c>
      <c r="S168" s="17" t="s">
        <v>849</v>
      </c>
      <c r="T168" s="17" t="s">
        <v>849</v>
      </c>
      <c r="U168" s="17" t="s">
        <v>849</v>
      </c>
      <c r="V168" s="26" t="s">
        <v>848</v>
      </c>
      <c r="W168" s="17">
        <f t="shared" si="10"/>
        <v>17</v>
      </c>
      <c r="X168" s="17" t="str">
        <f t="shared" si="11"/>
        <v>Alto</v>
      </c>
      <c r="Y168" s="17" t="s">
        <v>851</v>
      </c>
      <c r="Z168" s="17" t="e" vm="1">
        <f>VLOOKUP(Tabela7[[#This Row],[Controle]],[1]!Tabela135[#Data],33,FALSE)</f>
        <v>#REF!</v>
      </c>
      <c r="AA168" s="17" t="e" vm="1">
        <f>VLOOKUP(Tabela7[[#This Row],[Controle]],[1]!Tabela135[#Data],34,FALSE)</f>
        <v>#REF!</v>
      </c>
      <c r="AB168" s="17" t="s">
        <v>966</v>
      </c>
      <c r="AC168" s="17"/>
      <c r="AD168" s="17"/>
      <c r="AE168" s="77" t="s">
        <v>16</v>
      </c>
    </row>
    <row r="169" spans="1:31" ht="35.25" customHeight="1">
      <c r="A169" s="21" t="s">
        <v>2385</v>
      </c>
      <c r="B169" s="53" t="s">
        <v>1096</v>
      </c>
      <c r="C169" s="17" t="s">
        <v>1097</v>
      </c>
      <c r="D169" s="17" t="s">
        <v>964</v>
      </c>
      <c r="E169" s="17" t="str" cm="1">
        <f t="array" ref="E169">IF($F169="Information Disclosure",Formatação!H$5,IF($F169="Repudiation",Formatação!H$4,IF($F169="Spoofing",Formatação!H$2,IF($F169="Tampering",Formatação!H$3, IF($F169="Denial of Service",Formatação!H$6,IF($F169="Elevation of Privilege",Formatação!H$7,IF($F169="Lateral Movement",Formatação!H$8,Errado)))))))</f>
        <v>Não repúdio</v>
      </c>
      <c r="F169" s="17" t="s">
        <v>32</v>
      </c>
      <c r="G169" s="17" t="str" cm="1">
        <f t="array" ref="G169">IF($F169="Information Disclosure",Formatação!J$5,IF($F169="Repudiation",Formatação!J$4,IF($F169="Spoofing",Formatação!J$2,IF($F169="Tampering",Formatação!J$3, IF($F169="Denial of Service",Formatação!J$6,IF($F169="Elevation of Privilege",Formatação!J$7,IF($F169="Lateral Movement",Formatação!J$8,Errado)))))))</f>
        <v>Regulatório/Compliance</v>
      </c>
      <c r="H169" s="17" t="s">
        <v>375</v>
      </c>
      <c r="I169" s="17" t="s">
        <v>964</v>
      </c>
      <c r="J169" s="17" t="s">
        <v>944</v>
      </c>
      <c r="K169" s="17" t="s">
        <v>847</v>
      </c>
      <c r="L169" s="17" t="s">
        <v>847</v>
      </c>
      <c r="M169" s="17" t="s">
        <v>847</v>
      </c>
      <c r="N169" s="17" t="s">
        <v>847</v>
      </c>
      <c r="O169" s="17" t="s">
        <v>849</v>
      </c>
      <c r="P169" s="17" t="s">
        <v>849</v>
      </c>
      <c r="Q169" s="17" t="s">
        <v>849</v>
      </c>
      <c r="R169" s="17" t="s">
        <v>849</v>
      </c>
      <c r="S169" s="17" t="s">
        <v>849</v>
      </c>
      <c r="T169" s="17" t="s">
        <v>849</v>
      </c>
      <c r="U169" s="17" t="s">
        <v>849</v>
      </c>
      <c r="V169" s="17" t="s">
        <v>1614</v>
      </c>
      <c r="W169" s="17">
        <f t="shared" si="10"/>
        <v>14</v>
      </c>
      <c r="X169" s="17" t="str">
        <f t="shared" si="11"/>
        <v>Moderado</v>
      </c>
      <c r="Y169" s="17" t="s">
        <v>851</v>
      </c>
      <c r="Z169" s="17" t="e" vm="1">
        <f>VLOOKUP(Tabela7[[#This Row],[Controle]],[1]!Tabela135[#Data],33,FALSE)</f>
        <v>#REF!</v>
      </c>
      <c r="AA169" s="17" t="e" vm="1">
        <f>VLOOKUP(Tabela7[[#This Row],[Controle]],[1]!Tabela135[#Data],34,FALSE)</f>
        <v>#REF!</v>
      </c>
      <c r="AB169" s="17" t="s">
        <v>966</v>
      </c>
      <c r="AC169" s="17"/>
      <c r="AD169" s="17"/>
      <c r="AE169" s="77" t="s">
        <v>16</v>
      </c>
    </row>
    <row r="170" spans="1:31" ht="35.25" customHeight="1">
      <c r="A170" s="21" t="s">
        <v>2386</v>
      </c>
      <c r="B170" s="53" t="s">
        <v>1102</v>
      </c>
      <c r="C170" s="17" t="s">
        <v>1103</v>
      </c>
      <c r="D170" s="17" t="s">
        <v>964</v>
      </c>
      <c r="E170" s="17" t="str" cm="1">
        <f t="array" ref="E170">IF($F170="Information Disclosure",Formatação!H$5,IF($F170="Repudiation",Formatação!H$4,IF($F170="Spoofing",Formatação!H$2,IF($F170="Tampering",Formatação!H$3, IF($F170="Denial of Service",Formatação!H$6,IF($F170="Elevation of Privilege",Formatação!H$7,IF($F170="Lateral Movement",Formatação!H$8,Errado)))))))</f>
        <v>Não repúdio</v>
      </c>
      <c r="F170" s="17" t="s">
        <v>32</v>
      </c>
      <c r="G170" s="17" t="str" cm="1">
        <f t="array" ref="G170">IF($F170="Information Disclosure",Formatação!J$5,IF($F170="Repudiation",Formatação!J$4,IF($F170="Spoofing",Formatação!J$2,IF($F170="Tampering",Formatação!J$3, IF($F170="Denial of Service",Formatação!J$6,IF($F170="Elevation of Privilege",Formatação!J$7,IF($F170="Lateral Movement",Formatação!J$8,Errado)))))))</f>
        <v>Regulatório/Compliance</v>
      </c>
      <c r="H170" s="17" t="s">
        <v>375</v>
      </c>
      <c r="I170" s="17" t="s">
        <v>964</v>
      </c>
      <c r="J170" s="17" t="s">
        <v>944</v>
      </c>
      <c r="K170" s="17" t="s">
        <v>847</v>
      </c>
      <c r="L170" s="17" t="s">
        <v>847</v>
      </c>
      <c r="M170" s="17" t="s">
        <v>847</v>
      </c>
      <c r="N170" s="17" t="s">
        <v>847</v>
      </c>
      <c r="O170" s="17" t="s">
        <v>848</v>
      </c>
      <c r="P170" s="17" t="s">
        <v>849</v>
      </c>
      <c r="Q170" s="17" t="s">
        <v>848</v>
      </c>
      <c r="R170" s="17" t="s">
        <v>849</v>
      </c>
      <c r="S170" s="17" t="s">
        <v>849</v>
      </c>
      <c r="T170" s="17" t="s">
        <v>849</v>
      </c>
      <c r="U170" s="17" t="s">
        <v>849</v>
      </c>
      <c r="V170" s="17" t="s">
        <v>849</v>
      </c>
      <c r="W170" s="17">
        <f t="shared" si="10"/>
        <v>18</v>
      </c>
      <c r="X170" s="17" t="str">
        <f t="shared" si="11"/>
        <v>Alto</v>
      </c>
      <c r="Y170" s="17" t="s">
        <v>1704</v>
      </c>
      <c r="Z170" s="17" t="e" vm="1">
        <f>VLOOKUP(Tabela7[[#This Row],[Controle]],[1]!Tabela135[#Data],33,FALSE)</f>
        <v>#REF!</v>
      </c>
      <c r="AA170" s="17" t="e" vm="1">
        <f>VLOOKUP(Tabela7[[#This Row],[Controle]],[1]!Tabela135[#Data],34,FALSE)</f>
        <v>#REF!</v>
      </c>
      <c r="AB170" s="17" t="s">
        <v>966</v>
      </c>
      <c r="AC170" s="17"/>
      <c r="AD170" s="17"/>
      <c r="AE170" s="77" t="s">
        <v>16</v>
      </c>
    </row>
    <row r="171" spans="1:31" ht="35.25" customHeight="1">
      <c r="A171" s="21" t="s">
        <v>2387</v>
      </c>
      <c r="B171" s="53" t="s">
        <v>2388</v>
      </c>
      <c r="C171" s="17" t="s">
        <v>2389</v>
      </c>
      <c r="D171" s="17" t="s">
        <v>964</v>
      </c>
      <c r="E171" s="17" t="str" cm="1">
        <f t="array" ref="E171">IF($F171="Information Disclosure",Formatação!H$5,IF($F171="Repudiation",Formatação!H$4,IF($F171="Spoofing",Formatação!H$2,IF($F171="Tampering",Formatação!H$3, IF($F171="Denial of Service",Formatação!H$6,IF($F171="Elevation of Privilege",Formatação!H$7,IF($F171="Lateral Movement",Formatação!H$8,Errado)))))))</f>
        <v>Não repúdio</v>
      </c>
      <c r="F171" s="17" t="s">
        <v>32</v>
      </c>
      <c r="G171" s="17" t="str" cm="1">
        <f t="array" ref="G171">IF($F171="Information Disclosure",Formatação!J$5,IF($F171="Repudiation",Formatação!J$4,IF($F171="Spoofing",Formatação!J$2,IF($F171="Tampering",Formatação!J$3, IF($F171="Denial of Service",Formatação!J$6,IF($F171="Elevation of Privilege",Formatação!J$7,IF($F171="Lateral Movement",Formatação!J$8,Errado)))))))</f>
        <v>Regulatório/Compliance</v>
      </c>
      <c r="H171" s="17" t="s">
        <v>259</v>
      </c>
      <c r="I171" s="17" t="s">
        <v>964</v>
      </c>
      <c r="J171" s="17" t="s">
        <v>944</v>
      </c>
      <c r="K171" s="17" t="s">
        <v>847</v>
      </c>
      <c r="L171" s="17" t="s">
        <v>847</v>
      </c>
      <c r="M171" s="17" t="s">
        <v>847</v>
      </c>
      <c r="N171" s="17" t="s">
        <v>847</v>
      </c>
      <c r="O171" s="17" t="s">
        <v>849</v>
      </c>
      <c r="P171" s="17" t="s">
        <v>849</v>
      </c>
      <c r="Q171" s="17" t="s">
        <v>848</v>
      </c>
      <c r="R171" s="17" t="s">
        <v>849</v>
      </c>
      <c r="S171" s="17" t="s">
        <v>849</v>
      </c>
      <c r="T171" s="17" t="s">
        <v>848</v>
      </c>
      <c r="U171" s="17" t="s">
        <v>848</v>
      </c>
      <c r="V171" s="17" t="s">
        <v>849</v>
      </c>
      <c r="W171" s="17">
        <f t="shared" si="10"/>
        <v>19</v>
      </c>
      <c r="X171" s="17" t="str">
        <f t="shared" si="11"/>
        <v>Crítico</v>
      </c>
      <c r="Y171" s="17" t="s">
        <v>851</v>
      </c>
      <c r="Z171" s="17" t="e" vm="1">
        <f>VLOOKUP(Tabela7[[#This Row],[Controle]],[1]!Tabela135[#Data],33,FALSE)</f>
        <v>#REF!</v>
      </c>
      <c r="AA171" s="17" t="e" vm="1">
        <f>VLOOKUP(Tabela7[[#This Row],[Controle]],[1]!Tabela135[#Data],34,FALSE)</f>
        <v>#REF!</v>
      </c>
      <c r="AB171" s="17"/>
      <c r="AC171" s="17"/>
      <c r="AD171" s="17"/>
      <c r="AE171" s="17"/>
    </row>
    <row r="172" spans="1:31" ht="35.25" customHeight="1">
      <c r="A172" s="21" t="s">
        <v>2390</v>
      </c>
      <c r="B172" s="53" t="s">
        <v>449</v>
      </c>
      <c r="C172" s="17" t="s">
        <v>450</v>
      </c>
      <c r="D172" s="17" t="s">
        <v>1105</v>
      </c>
      <c r="E172" s="17" t="s">
        <v>451</v>
      </c>
      <c r="F172" s="17" t="s">
        <v>32</v>
      </c>
      <c r="G172" s="17" t="s">
        <v>53</v>
      </c>
      <c r="H172" s="17" t="s">
        <v>1106</v>
      </c>
      <c r="I172" s="17" t="s">
        <v>453</v>
      </c>
      <c r="J172" s="17" t="s">
        <v>423</v>
      </c>
      <c r="K172" s="17" t="s">
        <v>847</v>
      </c>
      <c r="L172" s="17" t="s">
        <v>847</v>
      </c>
      <c r="M172" s="17" t="s">
        <v>847</v>
      </c>
      <c r="N172" s="17" t="s">
        <v>847</v>
      </c>
      <c r="O172" s="17" t="s">
        <v>1614</v>
      </c>
      <c r="P172" s="17" t="s">
        <v>849</v>
      </c>
      <c r="Q172" s="17" t="s">
        <v>848</v>
      </c>
      <c r="R172" s="17" t="s">
        <v>849</v>
      </c>
      <c r="S172" s="17" t="s">
        <v>849</v>
      </c>
      <c r="T172" s="17" t="s">
        <v>849</v>
      </c>
      <c r="U172" s="17" t="s">
        <v>849</v>
      </c>
      <c r="V172" s="17" t="s">
        <v>1614</v>
      </c>
      <c r="W172" s="17">
        <f t="shared" si="10"/>
        <v>13</v>
      </c>
      <c r="X172" s="17" t="str">
        <f t="shared" si="11"/>
        <v>Moderado</v>
      </c>
      <c r="Y172" s="17" t="s">
        <v>851</v>
      </c>
      <c r="Z172" s="17" t="e" vm="1">
        <f>VLOOKUP(Tabela7[[#This Row],[Controle]],[1]!Tabela135[#Data],33,FALSE)</f>
        <v>#REF!</v>
      </c>
      <c r="AA172" s="17" t="e" vm="1">
        <f>VLOOKUP(Tabela7[[#This Row],[Controle]],[1]!Tabela135[#Data],34,FALSE)</f>
        <v>#REF!</v>
      </c>
      <c r="AB172" s="17" t="s">
        <v>854</v>
      </c>
      <c r="AC172" s="17"/>
      <c r="AD172" s="17"/>
      <c r="AE172" s="17"/>
    </row>
    <row r="173" spans="1:31" ht="35.25" customHeight="1">
      <c r="A173" s="21" t="s">
        <v>2391</v>
      </c>
      <c r="B173" s="53" t="s">
        <v>454</v>
      </c>
      <c r="C173" s="17" t="s">
        <v>455</v>
      </c>
      <c r="D173" s="17" t="s">
        <v>1105</v>
      </c>
      <c r="E173" s="17" t="s">
        <v>451</v>
      </c>
      <c r="F173" s="17" t="s">
        <v>32</v>
      </c>
      <c r="G173" s="17" t="s">
        <v>31</v>
      </c>
      <c r="H173" s="17" t="s">
        <v>1108</v>
      </c>
      <c r="I173" s="17" t="s">
        <v>231</v>
      </c>
      <c r="J173" s="17" t="s">
        <v>456</v>
      </c>
      <c r="K173" s="17" t="s">
        <v>847</v>
      </c>
      <c r="L173" s="17" t="s">
        <v>847</v>
      </c>
      <c r="M173" s="17" t="s">
        <v>847</v>
      </c>
      <c r="N173" s="17" t="s">
        <v>847</v>
      </c>
      <c r="O173" s="17" t="s">
        <v>849</v>
      </c>
      <c r="P173" s="17" t="s">
        <v>849</v>
      </c>
      <c r="Q173" s="17" t="s">
        <v>848</v>
      </c>
      <c r="R173" s="17" t="s">
        <v>849</v>
      </c>
      <c r="S173" s="17" t="s">
        <v>849</v>
      </c>
      <c r="T173" s="17" t="s">
        <v>849</v>
      </c>
      <c r="U173" s="17" t="s">
        <v>849</v>
      </c>
      <c r="V173" s="17" t="s">
        <v>849</v>
      </c>
      <c r="W173" s="17">
        <f t="shared" si="10"/>
        <v>17</v>
      </c>
      <c r="X173" s="17" t="str">
        <f t="shared" si="11"/>
        <v>Alto</v>
      </c>
      <c r="Y173" s="17" t="s">
        <v>851</v>
      </c>
      <c r="Z173" s="17" t="e" vm="1">
        <f>VLOOKUP(Tabela7[[#This Row],[Controle]],[1]!Tabela135[#Data],33,FALSE)</f>
        <v>#REF!</v>
      </c>
      <c r="AA173" s="17" t="e" vm="1">
        <f>VLOOKUP(Tabela7[[#This Row],[Controle]],[1]!Tabela135[#Data],34,FALSE)</f>
        <v>#REF!</v>
      </c>
      <c r="AB173" s="17" t="s">
        <v>854</v>
      </c>
      <c r="AC173" s="17"/>
      <c r="AD173" s="17"/>
      <c r="AE173" s="17"/>
    </row>
    <row r="174" spans="1:31" ht="35.25" customHeight="1">
      <c r="A174" s="21" t="s">
        <v>2392</v>
      </c>
      <c r="B174" s="28" t="s">
        <v>457</v>
      </c>
      <c r="C174" s="17" t="s">
        <v>458</v>
      </c>
      <c r="D174" s="17" t="s">
        <v>1105</v>
      </c>
      <c r="E174" s="17" t="s">
        <v>459</v>
      </c>
      <c r="F174" s="26" t="s">
        <v>25</v>
      </c>
      <c r="G174" s="17" t="s">
        <v>437</v>
      </c>
      <c r="H174" s="26" t="s">
        <v>1110</v>
      </c>
      <c r="I174" s="26" t="s">
        <v>231</v>
      </c>
      <c r="J174" s="26" t="s">
        <v>341</v>
      </c>
      <c r="K174" s="17" t="s">
        <v>847</v>
      </c>
      <c r="L174" s="17" t="s">
        <v>847</v>
      </c>
      <c r="M174" s="17" t="s">
        <v>847</v>
      </c>
      <c r="N174" s="17" t="s">
        <v>847</v>
      </c>
      <c r="O174" s="17" t="s">
        <v>848</v>
      </c>
      <c r="P174" s="17" t="s">
        <v>849</v>
      </c>
      <c r="Q174" s="17" t="s">
        <v>848</v>
      </c>
      <c r="R174" s="17" t="s">
        <v>849</v>
      </c>
      <c r="S174" s="17" t="s">
        <v>849</v>
      </c>
      <c r="T174" s="17" t="s">
        <v>849</v>
      </c>
      <c r="U174" s="17" t="s">
        <v>849</v>
      </c>
      <c r="V174" s="17" t="s">
        <v>849</v>
      </c>
      <c r="W174" s="17">
        <f t="shared" si="10"/>
        <v>18</v>
      </c>
      <c r="X174" s="17" t="str">
        <f t="shared" si="11"/>
        <v>Alto</v>
      </c>
      <c r="Y174" s="17" t="s">
        <v>851</v>
      </c>
      <c r="Z174" s="17" t="e" vm="1">
        <f>VLOOKUP(Tabela7[[#This Row],[Controle]],[1]!Tabela135[#Data],33,FALSE)</f>
        <v>#REF!</v>
      </c>
      <c r="AA174" s="17" t="e" vm="1">
        <f>VLOOKUP(Tabela7[[#This Row],[Controle]],[1]!Tabela135[#Data],34,FALSE)</f>
        <v>#REF!</v>
      </c>
      <c r="AB174" s="17" t="s">
        <v>854</v>
      </c>
      <c r="AC174" s="17"/>
      <c r="AD174" s="17"/>
      <c r="AE174" s="17"/>
    </row>
    <row r="175" spans="1:31" ht="35.25" customHeight="1">
      <c r="A175" s="21" t="s">
        <v>2393</v>
      </c>
      <c r="B175" s="53" t="s">
        <v>2394</v>
      </c>
      <c r="C175" s="17" t="s">
        <v>1112</v>
      </c>
      <c r="D175" s="17" t="s">
        <v>1105</v>
      </c>
      <c r="E175" s="17" t="s">
        <v>448</v>
      </c>
      <c r="F175" s="17" t="s">
        <v>67</v>
      </c>
      <c r="G175" s="17" t="s">
        <v>12</v>
      </c>
      <c r="H175" s="17" t="s">
        <v>1113</v>
      </c>
      <c r="I175" s="17" t="s">
        <v>231</v>
      </c>
      <c r="J175" s="17" t="s">
        <v>357</v>
      </c>
      <c r="K175" s="17" t="s">
        <v>847</v>
      </c>
      <c r="L175" s="17" t="s">
        <v>847</v>
      </c>
      <c r="M175" s="17" t="s">
        <v>847</v>
      </c>
      <c r="N175" s="17" t="s">
        <v>847</v>
      </c>
      <c r="O175" s="17" t="s">
        <v>1614</v>
      </c>
      <c r="P175" s="17" t="s">
        <v>849</v>
      </c>
      <c r="Q175" s="17" t="s">
        <v>848</v>
      </c>
      <c r="R175" s="17" t="s">
        <v>849</v>
      </c>
      <c r="S175" s="17" t="s">
        <v>849</v>
      </c>
      <c r="T175" s="17" t="s">
        <v>849</v>
      </c>
      <c r="U175" s="17" t="s">
        <v>849</v>
      </c>
      <c r="V175" s="17" t="s">
        <v>1614</v>
      </c>
      <c r="W175" s="17">
        <f t="shared" si="10"/>
        <v>13</v>
      </c>
      <c r="X175" s="17" t="str">
        <f t="shared" si="11"/>
        <v>Moderado</v>
      </c>
      <c r="Y175" s="17" t="s">
        <v>851</v>
      </c>
      <c r="Z175" s="17" t="s">
        <v>2395</v>
      </c>
      <c r="AA175" s="17" t="s">
        <v>2396</v>
      </c>
      <c r="AB175" s="17" t="s">
        <v>952</v>
      </c>
      <c r="AC175" s="17"/>
      <c r="AD175" s="17"/>
      <c r="AE175" s="17"/>
    </row>
    <row r="176" spans="1:31" ht="35.25" customHeight="1">
      <c r="A176" s="21" t="s">
        <v>2397</v>
      </c>
      <c r="B176" s="53" t="s">
        <v>462</v>
      </c>
      <c r="C176" s="17" t="s">
        <v>1115</v>
      </c>
      <c r="D176" s="17" t="s">
        <v>1105</v>
      </c>
      <c r="E176" s="17" t="s">
        <v>448</v>
      </c>
      <c r="F176" s="17" t="s">
        <v>67</v>
      </c>
      <c r="G176" s="17" t="s">
        <v>12</v>
      </c>
      <c r="H176" s="17" t="s">
        <v>1113</v>
      </c>
      <c r="I176" s="17" t="s">
        <v>231</v>
      </c>
      <c r="J176" s="17" t="s">
        <v>357</v>
      </c>
      <c r="K176" s="17" t="s">
        <v>847</v>
      </c>
      <c r="L176" s="17" t="s">
        <v>847</v>
      </c>
      <c r="M176" s="17" t="s">
        <v>847</v>
      </c>
      <c r="N176" s="17" t="s">
        <v>847</v>
      </c>
      <c r="O176" s="17" t="s">
        <v>1614</v>
      </c>
      <c r="P176" s="17" t="s">
        <v>849</v>
      </c>
      <c r="Q176" s="17" t="s">
        <v>848</v>
      </c>
      <c r="R176" s="17" t="s">
        <v>849</v>
      </c>
      <c r="S176" s="17" t="s">
        <v>849</v>
      </c>
      <c r="T176" s="17" t="s">
        <v>849</v>
      </c>
      <c r="U176" s="17" t="s">
        <v>849</v>
      </c>
      <c r="V176" s="17" t="s">
        <v>1614</v>
      </c>
      <c r="W176" s="17">
        <f t="shared" si="10"/>
        <v>13</v>
      </c>
      <c r="X176" s="17" t="str">
        <f t="shared" si="11"/>
        <v>Moderado</v>
      </c>
      <c r="Y176" s="17" t="s">
        <v>851</v>
      </c>
      <c r="Z176" s="17" t="e" vm="1">
        <f>VLOOKUP(Tabela7[[#This Row],[Controle]],[1]!Tabela135[#Data],33,FALSE)</f>
        <v>#REF!</v>
      </c>
      <c r="AA176" s="17" t="e" vm="1">
        <f>VLOOKUP(Tabela7[[#This Row],[Controle]],[1]!Tabela135[#Data],34,FALSE)</f>
        <v>#REF!</v>
      </c>
      <c r="AB176" s="17" t="s">
        <v>952</v>
      </c>
      <c r="AC176" s="17"/>
      <c r="AD176" s="17"/>
      <c r="AE176" s="17"/>
    </row>
    <row r="177" spans="1:31" ht="35.25" customHeight="1">
      <c r="A177" s="21" t="s">
        <v>2398</v>
      </c>
      <c r="B177" s="53" t="s">
        <v>464</v>
      </c>
      <c r="C177" s="17" t="s">
        <v>465</v>
      </c>
      <c r="D177" s="17" t="s">
        <v>1105</v>
      </c>
      <c r="E177" s="17" t="s">
        <v>451</v>
      </c>
      <c r="F177" s="17" t="s">
        <v>32</v>
      </c>
      <c r="G177" s="17" t="s">
        <v>31</v>
      </c>
      <c r="H177" s="17" t="s">
        <v>1106</v>
      </c>
      <c r="I177" s="17" t="s">
        <v>231</v>
      </c>
      <c r="J177" s="17" t="s">
        <v>944</v>
      </c>
      <c r="K177" s="17" t="s">
        <v>847</v>
      </c>
      <c r="L177" s="17" t="s">
        <v>847</v>
      </c>
      <c r="M177" s="17" t="s">
        <v>847</v>
      </c>
      <c r="N177" s="17" t="s">
        <v>847</v>
      </c>
      <c r="O177" s="17" t="s">
        <v>1614</v>
      </c>
      <c r="P177" s="17" t="s">
        <v>849</v>
      </c>
      <c r="Q177" s="17" t="s">
        <v>848</v>
      </c>
      <c r="R177" s="17" t="s">
        <v>849</v>
      </c>
      <c r="S177" s="17" t="s">
        <v>849</v>
      </c>
      <c r="T177" s="17" t="s">
        <v>849</v>
      </c>
      <c r="U177" s="17" t="s">
        <v>849</v>
      </c>
      <c r="V177" s="17" t="s">
        <v>1614</v>
      </c>
      <c r="W177" s="17">
        <f t="shared" si="10"/>
        <v>13</v>
      </c>
      <c r="X177" s="17" t="str">
        <f t="shared" si="11"/>
        <v>Moderado</v>
      </c>
      <c r="Y177" s="17" t="s">
        <v>1704</v>
      </c>
      <c r="Z177" s="17" t="e" vm="1">
        <f>VLOOKUP(Tabela7[[#This Row],[Controle]],[1]!Tabela135[#Data],33,FALSE)</f>
        <v>#REF!</v>
      </c>
      <c r="AA177" s="17" t="e" vm="1">
        <f>VLOOKUP(Tabela7[[#This Row],[Controle]],[1]!Tabela135[#Data],34,FALSE)</f>
        <v>#REF!</v>
      </c>
      <c r="AB177" s="17" t="s">
        <v>854</v>
      </c>
      <c r="AC177" s="17"/>
      <c r="AD177" s="17"/>
      <c r="AE177" s="17"/>
    </row>
    <row r="178" spans="1:31" ht="35.25" customHeight="1">
      <c r="A178" s="21" t="s">
        <v>2399</v>
      </c>
      <c r="B178" s="53" t="s">
        <v>466</v>
      </c>
      <c r="C178" s="17" t="s">
        <v>467</v>
      </c>
      <c r="D178" s="17" t="s">
        <v>1105</v>
      </c>
      <c r="E178" s="17" t="s">
        <v>451</v>
      </c>
      <c r="F178" s="17" t="s">
        <v>32</v>
      </c>
      <c r="G178" s="17" t="s">
        <v>31</v>
      </c>
      <c r="H178" s="17" t="s">
        <v>1118</v>
      </c>
      <c r="I178" s="17" t="s">
        <v>231</v>
      </c>
      <c r="J178" s="17" t="s">
        <v>944</v>
      </c>
      <c r="K178" s="17" t="s">
        <v>847</v>
      </c>
      <c r="L178" s="17" t="s">
        <v>847</v>
      </c>
      <c r="M178" s="17" t="s">
        <v>847</v>
      </c>
      <c r="N178" s="17" t="s">
        <v>847</v>
      </c>
      <c r="O178" s="17" t="s">
        <v>1614</v>
      </c>
      <c r="P178" s="17" t="s">
        <v>849</v>
      </c>
      <c r="Q178" s="17" t="s">
        <v>848</v>
      </c>
      <c r="R178" s="17" t="s">
        <v>849</v>
      </c>
      <c r="S178" s="17" t="s">
        <v>849</v>
      </c>
      <c r="T178" s="17" t="s">
        <v>849</v>
      </c>
      <c r="U178" s="17" t="s">
        <v>849</v>
      </c>
      <c r="V178" s="17" t="s">
        <v>1614</v>
      </c>
      <c r="W178" s="17">
        <f t="shared" si="10"/>
        <v>13</v>
      </c>
      <c r="X178" s="17" t="str">
        <f t="shared" si="11"/>
        <v>Moderado</v>
      </c>
      <c r="Y178" s="17" t="s">
        <v>1704</v>
      </c>
      <c r="Z178" s="17" t="e" vm="1">
        <f>VLOOKUP(Tabela7[[#This Row],[Controle]],[1]!Tabela135[#Data],33,FALSE)</f>
        <v>#REF!</v>
      </c>
      <c r="AA178" s="17" t="e" vm="1">
        <f>VLOOKUP(Tabela7[[#This Row],[Controle]],[1]!Tabela135[#Data],34,FALSE)</f>
        <v>#REF!</v>
      </c>
      <c r="AB178" s="17" t="s">
        <v>854</v>
      </c>
      <c r="AC178" s="17"/>
      <c r="AD178" s="17"/>
      <c r="AE178" s="17"/>
    </row>
    <row r="179" spans="1:31" ht="35.25" customHeight="1">
      <c r="A179" s="21" t="s">
        <v>2400</v>
      </c>
      <c r="B179" s="53" t="s">
        <v>468</v>
      </c>
      <c r="C179" s="17" t="s">
        <v>469</v>
      </c>
      <c r="D179" s="17" t="s">
        <v>1105</v>
      </c>
      <c r="E179" s="17" t="s">
        <v>451</v>
      </c>
      <c r="F179" s="17" t="s">
        <v>32</v>
      </c>
      <c r="G179" s="17" t="s">
        <v>53</v>
      </c>
      <c r="H179" s="17" t="s">
        <v>1106</v>
      </c>
      <c r="I179" s="17" t="s">
        <v>453</v>
      </c>
      <c r="J179" s="17" t="s">
        <v>944</v>
      </c>
      <c r="K179" s="17" t="s">
        <v>847</v>
      </c>
      <c r="L179" s="17" t="s">
        <v>847</v>
      </c>
      <c r="M179" s="17" t="s">
        <v>847</v>
      </c>
      <c r="N179" s="17" t="s">
        <v>847</v>
      </c>
      <c r="O179" s="17" t="s">
        <v>1614</v>
      </c>
      <c r="P179" s="17" t="s">
        <v>849</v>
      </c>
      <c r="Q179" s="17" t="s">
        <v>848</v>
      </c>
      <c r="R179" s="17" t="s">
        <v>849</v>
      </c>
      <c r="S179" s="17" t="s">
        <v>849</v>
      </c>
      <c r="T179" s="17" t="s">
        <v>849</v>
      </c>
      <c r="U179" s="17" t="s">
        <v>849</v>
      </c>
      <c r="V179" s="17" t="s">
        <v>1614</v>
      </c>
      <c r="W179" s="17">
        <f t="shared" si="10"/>
        <v>13</v>
      </c>
      <c r="X179" s="17" t="str">
        <f t="shared" si="11"/>
        <v>Moderado</v>
      </c>
      <c r="Y179" s="17" t="s">
        <v>851</v>
      </c>
      <c r="Z179" s="17" t="e" vm="1">
        <f>VLOOKUP(Tabela7[[#This Row],[Controle]],[1]!Tabela135[#Data],33,FALSE)</f>
        <v>#REF!</v>
      </c>
      <c r="AA179" s="17" t="e" vm="1">
        <f>VLOOKUP(Tabela7[[#This Row],[Controle]],[1]!Tabela135[#Data],34,FALSE)</f>
        <v>#REF!</v>
      </c>
      <c r="AB179" s="17" t="s">
        <v>854</v>
      </c>
      <c r="AC179" s="17"/>
      <c r="AD179" s="17"/>
      <c r="AE179" s="17"/>
    </row>
    <row r="180" spans="1:31" ht="35.25" customHeight="1">
      <c r="A180" s="21" t="s">
        <v>2401</v>
      </c>
      <c r="B180" s="53" t="s">
        <v>2402</v>
      </c>
      <c r="C180" s="17" t="s">
        <v>471</v>
      </c>
      <c r="D180" s="17" t="s">
        <v>1105</v>
      </c>
      <c r="E180" s="17" t="s">
        <v>448</v>
      </c>
      <c r="F180" s="17" t="s">
        <v>67</v>
      </c>
      <c r="G180" s="17" t="s">
        <v>12</v>
      </c>
      <c r="H180" s="17" t="s">
        <v>1121</v>
      </c>
      <c r="I180" s="17" t="s">
        <v>231</v>
      </c>
      <c r="J180" s="17" t="s">
        <v>357</v>
      </c>
      <c r="K180" s="17" t="s">
        <v>847</v>
      </c>
      <c r="L180" s="17" t="s">
        <v>847</v>
      </c>
      <c r="M180" s="17" t="s">
        <v>847</v>
      </c>
      <c r="N180" s="17" t="s">
        <v>847</v>
      </c>
      <c r="O180" s="17" t="s">
        <v>849</v>
      </c>
      <c r="P180" s="17" t="s">
        <v>849</v>
      </c>
      <c r="Q180" s="17" t="s">
        <v>848</v>
      </c>
      <c r="R180" s="17" t="s">
        <v>849</v>
      </c>
      <c r="S180" s="17" t="s">
        <v>849</v>
      </c>
      <c r="T180" s="17" t="s">
        <v>849</v>
      </c>
      <c r="U180" s="17" t="s">
        <v>849</v>
      </c>
      <c r="V180" s="17" t="s">
        <v>849</v>
      </c>
      <c r="W180" s="17">
        <f t="shared" si="10"/>
        <v>17</v>
      </c>
      <c r="X180" s="17" t="str">
        <f t="shared" si="11"/>
        <v>Alto</v>
      </c>
      <c r="Y180" s="17" t="s">
        <v>851</v>
      </c>
      <c r="Z180" s="17" t="s">
        <v>2395</v>
      </c>
      <c r="AA180" s="17" t="s">
        <v>2403</v>
      </c>
      <c r="AB180" s="17" t="s">
        <v>952</v>
      </c>
      <c r="AC180" s="17"/>
      <c r="AD180" s="17"/>
      <c r="AE180" s="17"/>
    </row>
    <row r="181" spans="1:31" ht="35.25" customHeight="1">
      <c r="A181" s="21" t="s">
        <v>2404</v>
      </c>
      <c r="B181" s="53" t="s">
        <v>472</v>
      </c>
      <c r="C181" s="17" t="s">
        <v>473</v>
      </c>
      <c r="D181" s="17" t="s">
        <v>1105</v>
      </c>
      <c r="E181" s="17" t="s">
        <v>448</v>
      </c>
      <c r="F181" s="17" t="s">
        <v>67</v>
      </c>
      <c r="G181" s="17" t="s">
        <v>12</v>
      </c>
      <c r="H181" s="17" t="s">
        <v>1108</v>
      </c>
      <c r="I181" s="17" t="s">
        <v>231</v>
      </c>
      <c r="J181" s="17" t="s">
        <v>357</v>
      </c>
      <c r="K181" s="17" t="s">
        <v>847</v>
      </c>
      <c r="L181" s="17" t="s">
        <v>847</v>
      </c>
      <c r="M181" s="17" t="s">
        <v>847</v>
      </c>
      <c r="N181" s="17" t="s">
        <v>847</v>
      </c>
      <c r="O181" s="17" t="s">
        <v>1614</v>
      </c>
      <c r="P181" s="17" t="s">
        <v>849</v>
      </c>
      <c r="Q181" s="17" t="s">
        <v>848</v>
      </c>
      <c r="R181" s="17" t="s">
        <v>849</v>
      </c>
      <c r="S181" s="17" t="s">
        <v>849</v>
      </c>
      <c r="T181" s="17" t="s">
        <v>849</v>
      </c>
      <c r="U181" s="17" t="s">
        <v>849</v>
      </c>
      <c r="V181" s="17" t="s">
        <v>849</v>
      </c>
      <c r="W181" s="17">
        <f t="shared" si="10"/>
        <v>15</v>
      </c>
      <c r="X181" s="17" t="str">
        <f t="shared" si="11"/>
        <v>Alto</v>
      </c>
      <c r="Y181" s="17" t="s">
        <v>851</v>
      </c>
      <c r="Z181" s="17" t="e" vm="1">
        <f>VLOOKUP(Tabela7[[#This Row],[Controle]],[1]!Tabela135[#Data],33,FALSE)</f>
        <v>#REF!</v>
      </c>
      <c r="AA181" s="17" t="e" vm="1">
        <f>VLOOKUP(Tabela7[[#This Row],[Controle]],[1]!Tabela135[#Data],34,FALSE)</f>
        <v>#REF!</v>
      </c>
      <c r="AB181" s="17" t="s">
        <v>952</v>
      </c>
      <c r="AC181" s="17"/>
      <c r="AD181" s="17"/>
      <c r="AE181" s="17"/>
    </row>
    <row r="182" spans="1:31" ht="35.25" customHeight="1">
      <c r="A182" s="21" t="s">
        <v>2405</v>
      </c>
      <c r="B182" s="53" t="s">
        <v>474</v>
      </c>
      <c r="C182" s="17" t="s">
        <v>475</v>
      </c>
      <c r="D182" s="17" t="s">
        <v>1105</v>
      </c>
      <c r="E182" s="17" t="s">
        <v>459</v>
      </c>
      <c r="F182" s="17" t="s">
        <v>25</v>
      </c>
      <c r="G182" s="17" t="s">
        <v>53</v>
      </c>
      <c r="H182" s="17" t="s">
        <v>1124</v>
      </c>
      <c r="I182" s="17" t="s">
        <v>231</v>
      </c>
      <c r="J182" s="17" t="s">
        <v>423</v>
      </c>
      <c r="K182" s="17" t="s">
        <v>847</v>
      </c>
      <c r="L182" s="17" t="s">
        <v>847</v>
      </c>
      <c r="M182" s="17" t="s">
        <v>847</v>
      </c>
      <c r="N182" s="17" t="s">
        <v>847</v>
      </c>
      <c r="O182" s="17" t="s">
        <v>1614</v>
      </c>
      <c r="P182" s="17" t="s">
        <v>849</v>
      </c>
      <c r="Q182" s="17" t="s">
        <v>848</v>
      </c>
      <c r="R182" s="17" t="s">
        <v>849</v>
      </c>
      <c r="S182" s="17" t="s">
        <v>849</v>
      </c>
      <c r="T182" s="17" t="s">
        <v>849</v>
      </c>
      <c r="U182" s="17" t="s">
        <v>849</v>
      </c>
      <c r="V182" s="17" t="s">
        <v>1614</v>
      </c>
      <c r="W182" s="17">
        <f t="shared" si="10"/>
        <v>13</v>
      </c>
      <c r="X182" s="17" t="str">
        <f t="shared" si="11"/>
        <v>Moderado</v>
      </c>
      <c r="Y182" s="17" t="s">
        <v>851</v>
      </c>
      <c r="Z182" s="17" t="s">
        <v>2406</v>
      </c>
      <c r="AA182" s="17" t="s">
        <v>2407</v>
      </c>
      <c r="AB182" s="17" t="s">
        <v>854</v>
      </c>
      <c r="AC182" s="17"/>
      <c r="AD182" s="17"/>
      <c r="AE182" s="17"/>
    </row>
    <row r="183" spans="1:31" ht="35.25" customHeight="1">
      <c r="A183" s="21" t="s">
        <v>2408</v>
      </c>
      <c r="B183" s="53" t="s">
        <v>476</v>
      </c>
      <c r="C183" s="17" t="s">
        <v>477</v>
      </c>
      <c r="D183" s="17" t="s">
        <v>1105</v>
      </c>
      <c r="E183" s="17" t="s">
        <v>459</v>
      </c>
      <c r="F183" s="17" t="s">
        <v>25</v>
      </c>
      <c r="G183" s="17" t="s">
        <v>53</v>
      </c>
      <c r="H183" s="17" t="s">
        <v>1126</v>
      </c>
      <c r="I183" s="17" t="s">
        <v>231</v>
      </c>
      <c r="J183" s="17" t="s">
        <v>232</v>
      </c>
      <c r="K183" s="17" t="s">
        <v>847</v>
      </c>
      <c r="L183" s="17" t="s">
        <v>847</v>
      </c>
      <c r="M183" s="17" t="s">
        <v>847</v>
      </c>
      <c r="N183" s="17" t="s">
        <v>847</v>
      </c>
      <c r="O183" s="17" t="s">
        <v>1614</v>
      </c>
      <c r="P183" s="17" t="s">
        <v>849</v>
      </c>
      <c r="Q183" s="17" t="s">
        <v>848</v>
      </c>
      <c r="R183" s="17" t="s">
        <v>849</v>
      </c>
      <c r="S183" s="17" t="s">
        <v>849</v>
      </c>
      <c r="T183" s="17" t="s">
        <v>849</v>
      </c>
      <c r="U183" s="17" t="s">
        <v>849</v>
      </c>
      <c r="V183" s="17" t="s">
        <v>849</v>
      </c>
      <c r="W183" s="17">
        <f t="shared" si="10"/>
        <v>15</v>
      </c>
      <c r="X183" s="17" t="str">
        <f t="shared" si="11"/>
        <v>Alto</v>
      </c>
      <c r="Y183" s="17" t="s">
        <v>851</v>
      </c>
      <c r="Z183" s="17" t="s">
        <v>2409</v>
      </c>
      <c r="AA183" s="17" t="s">
        <v>2410</v>
      </c>
      <c r="AB183" s="17" t="s">
        <v>854</v>
      </c>
      <c r="AC183" s="17"/>
      <c r="AD183" s="17"/>
      <c r="AE183" s="17"/>
    </row>
    <row r="184" spans="1:31" ht="35.25" customHeight="1">
      <c r="A184" s="21" t="s">
        <v>2411</v>
      </c>
      <c r="B184" s="53" t="s">
        <v>2412</v>
      </c>
      <c r="C184" s="17" t="s">
        <v>479</v>
      </c>
      <c r="D184" s="17" t="s">
        <v>1105</v>
      </c>
      <c r="E184" s="17" t="s">
        <v>459</v>
      </c>
      <c r="F184" s="17" t="s">
        <v>25</v>
      </c>
      <c r="G184" s="17" t="s">
        <v>53</v>
      </c>
      <c r="H184" s="17" t="s">
        <v>1126</v>
      </c>
      <c r="I184" s="17" t="s">
        <v>231</v>
      </c>
      <c r="J184" s="17" t="s">
        <v>357</v>
      </c>
      <c r="K184" s="17" t="s">
        <v>847</v>
      </c>
      <c r="L184" s="17" t="s">
        <v>847</v>
      </c>
      <c r="M184" s="17" t="s">
        <v>847</v>
      </c>
      <c r="N184" s="17" t="s">
        <v>847</v>
      </c>
      <c r="O184" s="17" t="s">
        <v>849</v>
      </c>
      <c r="P184" s="17" t="s">
        <v>849</v>
      </c>
      <c r="Q184" s="17" t="s">
        <v>848</v>
      </c>
      <c r="R184" s="17" t="s">
        <v>849</v>
      </c>
      <c r="S184" s="17" t="s">
        <v>849</v>
      </c>
      <c r="T184" s="17" t="s">
        <v>849</v>
      </c>
      <c r="U184" s="17" t="s">
        <v>849</v>
      </c>
      <c r="V184" s="17" t="s">
        <v>849</v>
      </c>
      <c r="W184" s="17">
        <f t="shared" si="10"/>
        <v>17</v>
      </c>
      <c r="X184" s="17" t="str">
        <f t="shared" si="11"/>
        <v>Alto</v>
      </c>
      <c r="Y184" s="17" t="s">
        <v>851</v>
      </c>
      <c r="Z184" s="17" t="s">
        <v>2406</v>
      </c>
      <c r="AA184" s="17" t="s">
        <v>2413</v>
      </c>
      <c r="AB184" s="17" t="s">
        <v>952</v>
      </c>
      <c r="AC184" s="17"/>
      <c r="AD184" s="17"/>
      <c r="AE184" s="17"/>
    </row>
    <row r="185" spans="1:31" ht="35.25" customHeight="1">
      <c r="A185" s="21" t="s">
        <v>2414</v>
      </c>
      <c r="B185" s="53" t="s">
        <v>2415</v>
      </c>
      <c r="C185" s="17" t="s">
        <v>481</v>
      </c>
      <c r="D185" s="17" t="s">
        <v>1105</v>
      </c>
      <c r="E185" s="17" t="s">
        <v>448</v>
      </c>
      <c r="F185" s="17" t="s">
        <v>67</v>
      </c>
      <c r="G185" s="17" t="s">
        <v>12</v>
      </c>
      <c r="H185" s="17" t="s">
        <v>421</v>
      </c>
      <c r="I185" s="17" t="s">
        <v>231</v>
      </c>
      <c r="J185" s="17" t="s">
        <v>357</v>
      </c>
      <c r="K185" s="17" t="s">
        <v>847</v>
      </c>
      <c r="L185" s="17" t="s">
        <v>847</v>
      </c>
      <c r="M185" s="17" t="s">
        <v>847</v>
      </c>
      <c r="N185" s="17" t="s">
        <v>847</v>
      </c>
      <c r="O185" s="17" t="s">
        <v>848</v>
      </c>
      <c r="P185" s="17" t="s">
        <v>849</v>
      </c>
      <c r="Q185" s="17" t="s">
        <v>848</v>
      </c>
      <c r="R185" s="17" t="s">
        <v>849</v>
      </c>
      <c r="S185" s="17" t="s">
        <v>849</v>
      </c>
      <c r="T185" s="17" t="s">
        <v>849</v>
      </c>
      <c r="U185" s="17" t="s">
        <v>849</v>
      </c>
      <c r="V185" s="17" t="s">
        <v>849</v>
      </c>
      <c r="W185" s="17">
        <f t="shared" si="10"/>
        <v>18</v>
      </c>
      <c r="X185" s="17" t="str">
        <f t="shared" si="11"/>
        <v>Alto</v>
      </c>
      <c r="Y185" s="17" t="s">
        <v>851</v>
      </c>
      <c r="Z185" s="17" t="s">
        <v>2416</v>
      </c>
      <c r="AA185" s="17" t="s">
        <v>2417</v>
      </c>
      <c r="AB185" s="17" t="s">
        <v>952</v>
      </c>
      <c r="AC185" s="17"/>
      <c r="AD185" s="17"/>
      <c r="AE185" s="17"/>
    </row>
    <row r="186" spans="1:31" ht="35.25" customHeight="1">
      <c r="A186" s="21" t="s">
        <v>2418</v>
      </c>
      <c r="B186" s="28" t="s">
        <v>1034</v>
      </c>
      <c r="C186" s="17" t="s">
        <v>1035</v>
      </c>
      <c r="D186" s="17" t="s">
        <v>270</v>
      </c>
      <c r="E186" s="17" t="str" cm="1">
        <f t="array" ref="E186">IF($F186="Information Disclosure",Formatação!H$5,IF($F186="Repudiation",Formatação!H$4,IF($F186="Spoofing",Formatação!H$2,IF($F186="Tampering",Formatação!H$3, IF($F186="Denial of Service",Formatação!H$6,IF($F186="Elevation of Privilege",Formatação!H$7,IF($F186="Lateral Movement",Formatação!H$8,Errado)))))))</f>
        <v>Integridade</v>
      </c>
      <c r="F186" s="26" t="s">
        <v>25</v>
      </c>
      <c r="G186" s="17" t="str" cm="1">
        <f t="array" ref="G186">IF($F186="Information Disclosure",Formatação!J$5,IF($F186="Repudiation",Formatação!J$4,IF($F186="Spoofing",Formatação!J$2,IF($F186="Tampering",Formatação!J$3, IF($F186="Denial of Service",Formatação!J$6,IF($F186="Elevation of Privilege",Formatação!J$7,IF($F186="Lateral Movement",Formatação!J$8,Errado)))))))</f>
        <v>Danos a imagem</v>
      </c>
      <c r="H186" s="26" t="s">
        <v>375</v>
      </c>
      <c r="I186" s="17" t="s">
        <v>409</v>
      </c>
      <c r="J186" s="17" t="s">
        <v>413</v>
      </c>
      <c r="K186" s="17" t="s">
        <v>847</v>
      </c>
      <c r="L186" s="17" t="s">
        <v>847</v>
      </c>
      <c r="M186" s="17" t="s">
        <v>847</v>
      </c>
      <c r="N186" s="17" t="s">
        <v>847</v>
      </c>
      <c r="O186" s="17" t="s">
        <v>849</v>
      </c>
      <c r="P186" s="17" t="s">
        <v>848</v>
      </c>
      <c r="Q186" s="17" t="s">
        <v>848</v>
      </c>
      <c r="R186" s="17" t="s">
        <v>849</v>
      </c>
      <c r="S186" s="17" t="s">
        <v>849</v>
      </c>
      <c r="T186" s="17" t="s">
        <v>849</v>
      </c>
      <c r="U186" s="17" t="s">
        <v>849</v>
      </c>
      <c r="V186" s="17" t="s">
        <v>850</v>
      </c>
      <c r="W186" s="17">
        <f t="shared" si="10"/>
        <v>18</v>
      </c>
      <c r="X186" s="17" t="str">
        <f t="shared" si="11"/>
        <v>Alto</v>
      </c>
      <c r="Y186" s="17" t="s">
        <v>851</v>
      </c>
      <c r="Z186" s="17" t="e" vm="1">
        <f>VLOOKUP(Tabela7[[#This Row],[Controle]],[1]!Tabela135[#Data],33,FALSE)</f>
        <v>#REF!</v>
      </c>
      <c r="AA186" s="17" t="e" vm="1">
        <f>VLOOKUP(Tabela7[[#This Row],[Controle]],[1]!Tabela135[#Data],34,FALSE)</f>
        <v>#REF!</v>
      </c>
      <c r="AB186" s="17" t="s">
        <v>856</v>
      </c>
      <c r="AC186" s="17"/>
      <c r="AD186" s="17"/>
      <c r="AE186" s="77" t="s">
        <v>16</v>
      </c>
    </row>
    <row r="187" spans="1:31" ht="35.25" customHeight="1">
      <c r="A187" s="21" t="s">
        <v>2419</v>
      </c>
      <c r="B187" s="68" t="s">
        <v>2420</v>
      </c>
      <c r="C187" s="17" t="s">
        <v>711</v>
      </c>
      <c r="D187" s="17" t="s">
        <v>1038</v>
      </c>
      <c r="E187" s="17" t="str" cm="1">
        <f t="array" ref="E187">IF($F187="Information Disclosure",Formatação!H$5,IF($F187="Repudiation",Formatação!H$4,IF($F187="Spoofing",Formatação!H$2,IF($F187="Tampering",Formatação!H$3, IF($F187="Denial of Service",Formatação!H$6,IF($F187="Elevation of Privilege",Formatação!H$7,IF($F187="Lateral Movement",Formatação!H$8,Errado)))))))</f>
        <v>Autenticação</v>
      </c>
      <c r="F187" s="17" t="s">
        <v>102</v>
      </c>
      <c r="G187" s="17" t="str" cm="1">
        <f t="array" ref="G187">IF($F187="Information Disclosure",Formatação!J$5,IF($F187="Repudiation",Formatação!J$4,IF($F187="Spoofing",Formatação!J$2,IF($F187="Tampering",Formatação!J$3, IF($F187="Denial of Service",Formatação!J$6,IF($F187="Elevation of Privilege",Formatação!J$7,IF($F187="Lateral Movement",Formatação!J$8,Errado)))))))</f>
        <v>Fraudes/Vazamento de dados</v>
      </c>
      <c r="H187" s="17" t="s">
        <v>23</v>
      </c>
      <c r="I187" s="17" t="s">
        <v>409</v>
      </c>
      <c r="J187" s="17" t="s">
        <v>413</v>
      </c>
      <c r="K187" s="17" t="s">
        <v>847</v>
      </c>
      <c r="L187" s="17" t="s">
        <v>1293</v>
      </c>
      <c r="M187" s="17" t="s">
        <v>1293</v>
      </c>
      <c r="N187" s="17" t="s">
        <v>847</v>
      </c>
      <c r="O187" s="17" t="s">
        <v>849</v>
      </c>
      <c r="P187" s="17" t="s">
        <v>848</v>
      </c>
      <c r="Q187" s="17" t="s">
        <v>848</v>
      </c>
      <c r="R187" s="17" t="s">
        <v>849</v>
      </c>
      <c r="S187" s="17" t="s">
        <v>849</v>
      </c>
      <c r="T187" s="17" t="s">
        <v>849</v>
      </c>
      <c r="U187" s="17" t="s">
        <v>849</v>
      </c>
      <c r="V187" s="17" t="s">
        <v>850</v>
      </c>
      <c r="W187" s="17">
        <f t="shared" si="10"/>
        <v>18</v>
      </c>
      <c r="X187" s="17" t="str">
        <f t="shared" si="11"/>
        <v>Alto</v>
      </c>
      <c r="Y187" s="17" t="s">
        <v>851</v>
      </c>
      <c r="Z187" s="17" t="e" vm="1">
        <f>VLOOKUP(Tabela7[[#This Row],[Controle]],[1]!Tabela135[#Data],33,FALSE)</f>
        <v>#REF!</v>
      </c>
      <c r="AA187" s="17" t="e" vm="1">
        <f>VLOOKUP(Tabela7[[#This Row],[Controle]],[1]!Tabela135[#Data],34,FALSE)</f>
        <v>#REF!</v>
      </c>
      <c r="AB187" s="17" t="s">
        <v>856</v>
      </c>
      <c r="AC187" s="17"/>
      <c r="AD187" s="17"/>
      <c r="AE187" s="17"/>
    </row>
    <row r="188" spans="1:31" ht="35.25" customHeight="1">
      <c r="A188" s="21" t="s">
        <v>2421</v>
      </c>
      <c r="B188" s="53" t="s">
        <v>2422</v>
      </c>
      <c r="C188" s="17" t="s">
        <v>698</v>
      </c>
      <c r="D188" s="17" t="s">
        <v>1038</v>
      </c>
      <c r="E188" s="17" t="str" cm="1">
        <f t="array" ref="E188">IF($F188="Information Disclosure",Formatação!H$5,IF($F188="Repudiation",Formatação!H$4,IF($F188="Spoofing",Formatação!H$2,IF($F188="Tampering",Formatação!H$3, IF($F188="Denial of Service",Formatação!H$6,IF($F188="Elevation of Privilege",Formatação!H$7,IF($F188="Lateral Movement",Formatação!H$8,Errado)))))))</f>
        <v>Autorização</v>
      </c>
      <c r="F188" s="17" t="s">
        <v>22</v>
      </c>
      <c r="G188" s="17" t="str" cm="1">
        <f t="array" ref="G188">IF($F188="Information Disclosure",Formatação!J$5,IF($F188="Repudiation",Formatação!J$4,IF($F188="Spoofing",Formatação!J$2,IF($F188="Tampering",Formatação!J$3, IF($F188="Denial of Service",Formatação!J$6,IF($F188="Elevation of Privilege",Formatação!J$7,IF($F188="Lateral Movement",Formatação!J$8,Errado)))))))</f>
        <v>Danos financeiros/Vazamento de dados</v>
      </c>
      <c r="H188" s="17" t="s">
        <v>23</v>
      </c>
      <c r="I188" s="17" t="s">
        <v>409</v>
      </c>
      <c r="J188" s="17" t="s">
        <v>413</v>
      </c>
      <c r="K188" s="17" t="s">
        <v>847</v>
      </c>
      <c r="L188" s="17" t="s">
        <v>847</v>
      </c>
      <c r="M188" s="17" t="s">
        <v>847</v>
      </c>
      <c r="N188" s="17" t="s">
        <v>847</v>
      </c>
      <c r="O188" s="17" t="s">
        <v>849</v>
      </c>
      <c r="P188" s="17" t="s">
        <v>848</v>
      </c>
      <c r="Q188" s="17" t="s">
        <v>848</v>
      </c>
      <c r="R188" s="17" t="s">
        <v>849</v>
      </c>
      <c r="S188" s="17" t="s">
        <v>849</v>
      </c>
      <c r="T188" s="17" t="s">
        <v>849</v>
      </c>
      <c r="U188" s="17" t="s">
        <v>849</v>
      </c>
      <c r="V188" s="17" t="s">
        <v>850</v>
      </c>
      <c r="W188" s="17">
        <f t="shared" si="10"/>
        <v>18</v>
      </c>
      <c r="X188" s="17" t="str">
        <f t="shared" si="11"/>
        <v>Alto</v>
      </c>
      <c r="Y188" s="17" t="s">
        <v>851</v>
      </c>
      <c r="Z188" s="17" t="s">
        <v>2193</v>
      </c>
      <c r="AA188" s="17" t="s">
        <v>2423</v>
      </c>
      <c r="AB188" s="17" t="s">
        <v>856</v>
      </c>
      <c r="AC188" s="17"/>
      <c r="AD188" s="17"/>
      <c r="AE188" s="17"/>
    </row>
    <row r="189" spans="1:31" ht="35.25" customHeight="1">
      <c r="A189" s="21" t="s">
        <v>2424</v>
      </c>
      <c r="B189" s="53" t="s">
        <v>2425</v>
      </c>
      <c r="C189" s="17" t="s">
        <v>700</v>
      </c>
      <c r="D189" s="17" t="s">
        <v>1038</v>
      </c>
      <c r="E189" s="17" t="str" cm="1">
        <f t="array" ref="E189">IF($F189="Information Disclosure",Formatação!H$5,IF($F189="Repudiation",Formatação!H$4,IF($F189="Spoofing",Formatação!H$2,IF($F189="Tampering",Formatação!H$3, IF($F189="Denial of Service",Formatação!H$6,IF($F189="Elevation of Privilege",Formatação!H$7,IF($F189="Lateral Movement",Formatação!H$8,Errado)))))))</f>
        <v>Autorização</v>
      </c>
      <c r="F189" s="17" t="s">
        <v>22</v>
      </c>
      <c r="G189" s="17" t="str" cm="1">
        <f t="array" ref="G189">IF($F189="Information Disclosure",Formatação!J$5,IF($F189="Repudiation",Formatação!J$4,IF($F189="Spoofing",Formatação!J$2,IF($F189="Tampering",Formatação!J$3, IF($F189="Denial of Service",Formatação!J$6,IF($F189="Elevation of Privilege",Formatação!J$7,IF($F189="Lateral Movement",Formatação!J$8,Errado)))))))</f>
        <v>Danos financeiros/Vazamento de dados</v>
      </c>
      <c r="H189" s="17" t="s">
        <v>23</v>
      </c>
      <c r="I189" s="17" t="s">
        <v>409</v>
      </c>
      <c r="J189" s="17" t="s">
        <v>413</v>
      </c>
      <c r="K189" s="17" t="s">
        <v>847</v>
      </c>
      <c r="L189" s="17" t="s">
        <v>847</v>
      </c>
      <c r="M189" s="17" t="s">
        <v>847</v>
      </c>
      <c r="N189" s="17" t="s">
        <v>847</v>
      </c>
      <c r="O189" s="17" t="s">
        <v>849</v>
      </c>
      <c r="P189" s="17" t="s">
        <v>848</v>
      </c>
      <c r="Q189" s="17" t="s">
        <v>848</v>
      </c>
      <c r="R189" s="17" t="s">
        <v>849</v>
      </c>
      <c r="S189" s="17" t="s">
        <v>849</v>
      </c>
      <c r="T189" s="17" t="s">
        <v>849</v>
      </c>
      <c r="U189" s="17" t="s">
        <v>849</v>
      </c>
      <c r="V189" s="17" t="s">
        <v>850</v>
      </c>
      <c r="W189" s="17">
        <f t="shared" si="10"/>
        <v>18</v>
      </c>
      <c r="X189" s="17" t="str">
        <f t="shared" si="11"/>
        <v>Alto</v>
      </c>
      <c r="Y189" s="17" t="s">
        <v>851</v>
      </c>
      <c r="Z189" s="17" t="s">
        <v>2193</v>
      </c>
      <c r="AA189" s="17" t="s">
        <v>2423</v>
      </c>
      <c r="AB189" s="17" t="s">
        <v>856</v>
      </c>
      <c r="AC189" s="17"/>
      <c r="AD189" s="17"/>
      <c r="AE189" s="17"/>
    </row>
    <row r="190" spans="1:31" ht="35.25" customHeight="1">
      <c r="A190" s="21" t="s">
        <v>2426</v>
      </c>
      <c r="B190" s="53" t="s">
        <v>560</v>
      </c>
      <c r="C190" s="17" t="s">
        <v>701</v>
      </c>
      <c r="D190" s="17" t="s">
        <v>1038</v>
      </c>
      <c r="E190" s="17" t="str" cm="1">
        <f t="array" ref="E190">IF($F190="Information Disclosure",Formatação!H$5,IF($F190="Repudiation",Formatação!H$4,IF($F190="Spoofing",Formatação!H$2,IF($F190="Tampering",Formatação!H$3, IF($F190="Denial of Service",Formatação!H$6,IF($F190="Elevation of Privilege",Formatação!H$7,IF($F190="Lateral Movement",Formatação!H$8,Errado)))))))</f>
        <v>Autorização</v>
      </c>
      <c r="F190" s="17" t="s">
        <v>22</v>
      </c>
      <c r="G190" s="17" t="str" cm="1">
        <f t="array" ref="G190">IF($F190="Information Disclosure",Formatação!J$5,IF($F190="Repudiation",Formatação!J$4,IF($F190="Spoofing",Formatação!J$2,IF($F190="Tampering",Formatação!J$3, IF($F190="Denial of Service",Formatação!J$6,IF($F190="Elevation of Privilege",Formatação!J$7,IF($F190="Lateral Movement",Formatação!J$8,Errado)))))))</f>
        <v>Danos financeiros/Vazamento de dados</v>
      </c>
      <c r="H190" s="17" t="s">
        <v>23</v>
      </c>
      <c r="I190" s="17" t="s">
        <v>409</v>
      </c>
      <c r="J190" s="17" t="s">
        <v>413</v>
      </c>
      <c r="K190" s="17" t="s">
        <v>847</v>
      </c>
      <c r="L190" s="17" t="s">
        <v>847</v>
      </c>
      <c r="M190" s="17" t="s">
        <v>847</v>
      </c>
      <c r="N190" s="17" t="s">
        <v>847</v>
      </c>
      <c r="O190" s="17" t="s">
        <v>849</v>
      </c>
      <c r="P190" s="17" t="s">
        <v>848</v>
      </c>
      <c r="Q190" s="17" t="s">
        <v>848</v>
      </c>
      <c r="R190" s="17" t="s">
        <v>849</v>
      </c>
      <c r="S190" s="17" t="s">
        <v>849</v>
      </c>
      <c r="T190" s="17" t="s">
        <v>849</v>
      </c>
      <c r="U190" s="17" t="s">
        <v>849</v>
      </c>
      <c r="V190" s="17" t="s">
        <v>850</v>
      </c>
      <c r="W190" s="17">
        <f t="shared" si="10"/>
        <v>18</v>
      </c>
      <c r="X190" s="17" t="str">
        <f t="shared" si="11"/>
        <v>Alto</v>
      </c>
      <c r="Y190" s="17" t="s">
        <v>851</v>
      </c>
      <c r="Z190" s="17" t="s">
        <v>2193</v>
      </c>
      <c r="AA190" s="17" t="s">
        <v>2423</v>
      </c>
      <c r="AB190" s="17" t="s">
        <v>856</v>
      </c>
      <c r="AC190" s="17"/>
      <c r="AD190" s="17"/>
      <c r="AE190" s="17"/>
    </row>
    <row r="191" spans="1:31" ht="35.25" customHeight="1">
      <c r="A191" s="21" t="s">
        <v>2427</v>
      </c>
      <c r="B191" s="68" t="s">
        <v>702</v>
      </c>
      <c r="C191" s="17" t="s">
        <v>703</v>
      </c>
      <c r="D191" s="17" t="s">
        <v>1038</v>
      </c>
      <c r="E191" s="17" t="str" cm="1">
        <f t="array" ref="E191">IF($F191="Information Disclosure",Formatação!H$5,IF($F191="Repudiation",Formatação!H$4,IF($F191="Spoofing",Formatação!H$2,IF($F191="Tampering",Formatação!H$3, IF($F191="Denial of Service",Formatação!H$6,IF($F191="Elevation of Privilege",Formatação!H$7,IF($F191="Lateral Movement",Formatação!H$8,Errado)))))))</f>
        <v>Autenticação</v>
      </c>
      <c r="F191" s="17" t="s">
        <v>102</v>
      </c>
      <c r="G191" s="17" t="str" cm="1">
        <f t="array" ref="G191">IF($F191="Information Disclosure",Formatação!J$5,IF($F191="Repudiation",Formatação!J$4,IF($F191="Spoofing",Formatação!J$2,IF($F191="Tampering",Formatação!J$3, IF($F191="Denial of Service",Formatação!J$6,IF($F191="Elevation of Privilege",Formatação!J$7,IF($F191="Lateral Movement",Formatação!J$8,Errado)))))))</f>
        <v>Fraudes/Vazamento de dados</v>
      </c>
      <c r="H191" s="17" t="s">
        <v>23</v>
      </c>
      <c r="I191" s="17" t="s">
        <v>409</v>
      </c>
      <c r="J191" s="17" t="s">
        <v>413</v>
      </c>
      <c r="K191" s="17" t="s">
        <v>847</v>
      </c>
      <c r="L191" s="17" t="s">
        <v>847</v>
      </c>
      <c r="M191" s="17" t="s">
        <v>847</v>
      </c>
      <c r="N191" s="17" t="s">
        <v>847</v>
      </c>
      <c r="O191" s="17" t="s">
        <v>849</v>
      </c>
      <c r="P191" s="17" t="s">
        <v>848</v>
      </c>
      <c r="Q191" s="17" t="s">
        <v>848</v>
      </c>
      <c r="R191" s="17" t="s">
        <v>849</v>
      </c>
      <c r="S191" s="17" t="s">
        <v>849</v>
      </c>
      <c r="T191" s="17" t="s">
        <v>849</v>
      </c>
      <c r="U191" s="17" t="s">
        <v>849</v>
      </c>
      <c r="V191" s="17" t="s">
        <v>850</v>
      </c>
      <c r="W191" s="17">
        <f t="shared" si="10"/>
        <v>18</v>
      </c>
      <c r="X191" s="17" t="str">
        <f t="shared" si="11"/>
        <v>Alto</v>
      </c>
      <c r="Y191" s="17" t="s">
        <v>851</v>
      </c>
      <c r="Z191" s="17" t="s">
        <v>2193</v>
      </c>
      <c r="AA191" s="17" t="s">
        <v>2423</v>
      </c>
      <c r="AB191" s="17" t="s">
        <v>856</v>
      </c>
      <c r="AC191" s="17"/>
      <c r="AD191" s="17"/>
      <c r="AE191" s="17"/>
    </row>
    <row r="192" spans="1:31" ht="35.25" customHeight="1">
      <c r="A192" s="21" t="s">
        <v>2428</v>
      </c>
      <c r="B192" s="68" t="s">
        <v>704</v>
      </c>
      <c r="C192" s="17" t="s">
        <v>705</v>
      </c>
      <c r="D192" s="17" t="s">
        <v>1038</v>
      </c>
      <c r="E192" s="17" t="str" cm="1">
        <f t="array" ref="E192">IF($F192="Information Disclosure",Formatação!H$5,IF($F192="Repudiation",Formatação!H$4,IF($F192="Spoofing",Formatação!H$2,IF($F192="Tampering",Formatação!H$3, IF($F192="Denial of Service",Formatação!H$6,IF($F192="Elevation of Privilege",Formatação!H$7,IF($F192="Lateral Movement",Formatação!H$8,Errado)))))))</f>
        <v>Autenticação</v>
      </c>
      <c r="F192" s="17" t="s">
        <v>102</v>
      </c>
      <c r="G192" s="17" t="str" cm="1">
        <f t="array" ref="G192">IF($F192="Information Disclosure",Formatação!J$5,IF($F192="Repudiation",Formatação!J$4,IF($F192="Spoofing",Formatação!J$2,IF($F192="Tampering",Formatação!J$3, IF($F192="Denial of Service",Formatação!J$6,IF($F192="Elevation of Privilege",Formatação!J$7,IF($F192="Lateral Movement",Formatação!J$8,Errado)))))))</f>
        <v>Fraudes/Vazamento de dados</v>
      </c>
      <c r="H192" s="17" t="s">
        <v>23</v>
      </c>
      <c r="I192" s="17" t="s">
        <v>409</v>
      </c>
      <c r="J192" s="17" t="s">
        <v>413</v>
      </c>
      <c r="K192" s="17" t="s">
        <v>847</v>
      </c>
      <c r="L192" s="17" t="s">
        <v>847</v>
      </c>
      <c r="M192" s="17" t="s">
        <v>847</v>
      </c>
      <c r="N192" s="17" t="s">
        <v>847</v>
      </c>
      <c r="O192" s="17" t="s">
        <v>849</v>
      </c>
      <c r="P192" s="17" t="s">
        <v>848</v>
      </c>
      <c r="Q192" s="17" t="s">
        <v>848</v>
      </c>
      <c r="R192" s="17" t="s">
        <v>849</v>
      </c>
      <c r="S192" s="17" t="s">
        <v>849</v>
      </c>
      <c r="T192" s="17" t="s">
        <v>849</v>
      </c>
      <c r="U192" s="17" t="s">
        <v>849</v>
      </c>
      <c r="V192" s="17" t="s">
        <v>850</v>
      </c>
      <c r="W192" s="17">
        <f t="shared" si="10"/>
        <v>18</v>
      </c>
      <c r="X192" s="17" t="str">
        <f t="shared" si="11"/>
        <v>Alto</v>
      </c>
      <c r="Y192" s="17" t="s">
        <v>862</v>
      </c>
      <c r="Z192" s="17" t="e" vm="1">
        <f>VLOOKUP(Tabela7[[#This Row],[Controle]],[1]!Tabela135[#Data],33,FALSE)</f>
        <v>#REF!</v>
      </c>
      <c r="AA192" s="17" t="e" vm="1">
        <f>VLOOKUP(Tabela7[[#This Row],[Controle]],[1]!Tabela135[#Data],34,FALSE)</f>
        <v>#REF!</v>
      </c>
      <c r="AB192" s="17" t="s">
        <v>856</v>
      </c>
      <c r="AC192" s="17"/>
      <c r="AD192" s="17"/>
      <c r="AE192" s="17"/>
    </row>
    <row r="193" spans="1:31" ht="35.25" customHeight="1">
      <c r="A193" s="21" t="s">
        <v>2429</v>
      </c>
      <c r="B193" s="68" t="s">
        <v>2430</v>
      </c>
      <c r="C193" s="17" t="s">
        <v>707</v>
      </c>
      <c r="D193" s="17" t="s">
        <v>1038</v>
      </c>
      <c r="E193" s="17" t="str" cm="1">
        <f t="array" ref="E193">IF($F193="Information Disclosure",Formatação!H$5,IF($F193="Repudiation",Formatação!H$4,IF($F193="Spoofing",Formatação!H$2,IF($F193="Tampering",Formatação!H$3, IF($F193="Denial of Service",Formatação!H$6,IF($F193="Elevation of Privilege",Formatação!H$7,IF($F193="Lateral Movement",Formatação!H$8,Errado)))))))</f>
        <v>Autenticação</v>
      </c>
      <c r="F193" s="17" t="s">
        <v>102</v>
      </c>
      <c r="G193" s="17" t="str" cm="1">
        <f t="array" ref="G193">IF($F193="Information Disclosure",Formatação!J$5,IF($F193="Repudiation",Formatação!J$4,IF($F193="Spoofing",Formatação!J$2,IF($F193="Tampering",Formatação!J$3, IF($F193="Denial of Service",Formatação!J$6,IF($F193="Elevation of Privilege",Formatação!J$7,IF($F193="Lateral Movement",Formatação!J$8,Errado)))))))</f>
        <v>Fraudes/Vazamento de dados</v>
      </c>
      <c r="H193" s="17" t="s">
        <v>23</v>
      </c>
      <c r="I193" s="17" t="s">
        <v>409</v>
      </c>
      <c r="J193" s="17" t="s">
        <v>413</v>
      </c>
      <c r="K193" s="17" t="s">
        <v>847</v>
      </c>
      <c r="L193" s="17" t="s">
        <v>847</v>
      </c>
      <c r="M193" s="17" t="s">
        <v>847</v>
      </c>
      <c r="N193" s="17" t="s">
        <v>847</v>
      </c>
      <c r="O193" s="17" t="s">
        <v>849</v>
      </c>
      <c r="P193" s="17" t="s">
        <v>848</v>
      </c>
      <c r="Q193" s="17" t="s">
        <v>848</v>
      </c>
      <c r="R193" s="17" t="s">
        <v>849</v>
      </c>
      <c r="S193" s="17" t="s">
        <v>849</v>
      </c>
      <c r="T193" s="17" t="s">
        <v>849</v>
      </c>
      <c r="U193" s="17" t="s">
        <v>849</v>
      </c>
      <c r="V193" s="17" t="s">
        <v>849</v>
      </c>
      <c r="W193" s="17">
        <f t="shared" si="10"/>
        <v>18</v>
      </c>
      <c r="X193" s="17" t="str">
        <f t="shared" si="11"/>
        <v>Alto</v>
      </c>
      <c r="Y193" s="17" t="s">
        <v>2266</v>
      </c>
      <c r="Z193" s="17" t="e" vm="1">
        <f>VLOOKUP(Tabela7[[#This Row],[Controle]],[1]!Tabela135[#Data],33,FALSE)</f>
        <v>#REF!</v>
      </c>
      <c r="AA193" s="17" t="e" vm="1">
        <f>VLOOKUP(Tabela7[[#This Row],[Controle]],[1]!Tabela135[#Data],34,FALSE)</f>
        <v>#REF!</v>
      </c>
      <c r="AB193" s="17" t="s">
        <v>856</v>
      </c>
      <c r="AC193" s="17"/>
      <c r="AD193" s="17"/>
      <c r="AE193" s="17"/>
    </row>
    <row r="194" spans="1:31" ht="35.25" customHeight="1">
      <c r="A194" s="21" t="s">
        <v>2431</v>
      </c>
      <c r="B194" s="68" t="s">
        <v>2432</v>
      </c>
      <c r="C194" s="17" t="s">
        <v>709</v>
      </c>
      <c r="D194" s="17" t="s">
        <v>1038</v>
      </c>
      <c r="E194" s="17" t="str" cm="1">
        <f t="array" ref="E194">IF($F194="Information Disclosure",Formatação!H$5,IF($F194="Repudiation",Formatação!H$4,IF($F194="Spoofing",Formatação!H$2,IF($F194="Tampering",Formatação!H$3, IF($F194="Denial of Service",Formatação!H$6,IF($F194="Elevation of Privilege",Formatação!H$7,IF($F194="Lateral Movement",Formatação!H$8,Errado)))))))</f>
        <v>Autenticação</v>
      </c>
      <c r="F194" s="17" t="s">
        <v>102</v>
      </c>
      <c r="G194" s="17" t="str" cm="1">
        <f t="array" ref="G194">IF($F194="Information Disclosure",Formatação!J$5,IF($F194="Repudiation",Formatação!J$4,IF($F194="Spoofing",Formatação!J$2,IF($F194="Tampering",Formatação!J$3, IF($F194="Denial of Service",Formatação!J$6,IF($F194="Elevation of Privilege",Formatação!J$7,IF($F194="Lateral Movement",Formatação!J$8,Errado)))))))</f>
        <v>Fraudes/Vazamento de dados</v>
      </c>
      <c r="H194" s="17" t="s">
        <v>23</v>
      </c>
      <c r="I194" s="17" t="s">
        <v>409</v>
      </c>
      <c r="J194" s="17" t="s">
        <v>413</v>
      </c>
      <c r="K194" s="17" t="s">
        <v>847</v>
      </c>
      <c r="L194" s="17" t="s">
        <v>847</v>
      </c>
      <c r="M194" s="17" t="s">
        <v>847</v>
      </c>
      <c r="N194" s="17" t="s">
        <v>847</v>
      </c>
      <c r="O194" s="17" t="s">
        <v>849</v>
      </c>
      <c r="P194" s="17" t="s">
        <v>848</v>
      </c>
      <c r="Q194" s="17" t="s">
        <v>848</v>
      </c>
      <c r="R194" s="17" t="s">
        <v>849</v>
      </c>
      <c r="S194" s="17" t="s">
        <v>849</v>
      </c>
      <c r="T194" s="17" t="s">
        <v>849</v>
      </c>
      <c r="U194" s="17" t="s">
        <v>849</v>
      </c>
      <c r="V194" s="17" t="s">
        <v>850</v>
      </c>
      <c r="W194" s="17">
        <f t="shared" si="10"/>
        <v>18</v>
      </c>
      <c r="X194" s="17" t="str">
        <f t="shared" si="11"/>
        <v>Alto</v>
      </c>
      <c r="Y194" s="17" t="s">
        <v>2266</v>
      </c>
      <c r="Z194" s="17" t="e" vm="1">
        <f>VLOOKUP(Tabela7[[#This Row],[Controle]],[1]!Tabela135[#Data],33,FALSE)</f>
        <v>#REF!</v>
      </c>
      <c r="AA194" s="17" t="e" vm="1">
        <f>VLOOKUP(Tabela7[[#This Row],[Controle]],[1]!Tabela135[#Data],34,FALSE)</f>
        <v>#REF!</v>
      </c>
      <c r="AB194" s="17" t="s">
        <v>856</v>
      </c>
      <c r="AC194" s="17"/>
      <c r="AD194" s="17"/>
      <c r="AE194" s="17"/>
    </row>
    <row r="195" spans="1:31" ht="35.25" customHeight="1">
      <c r="A195" s="21" t="s">
        <v>2433</v>
      </c>
      <c r="B195" s="53" t="s">
        <v>2434</v>
      </c>
      <c r="C195" s="17" t="s">
        <v>739</v>
      </c>
      <c r="D195" s="17" t="s">
        <v>270</v>
      </c>
      <c r="E195" s="17" t="str" cm="1">
        <f t="array" ref="E195">IF($F195="Information Disclosure",Formatação!H$5,IF($F195="Repudiation",Formatação!H$4,IF($F195="Spoofing",Formatação!H$2,IF($F195="Tampering",Formatação!H$3, IF($F195="Denial of Service",Formatação!H$6,IF($F195="Elevation of Privilege",Formatação!H$7,IF($F195="Lateral Movement",Formatação!H$8,Errado)))))))</f>
        <v>Autenticação</v>
      </c>
      <c r="F195" s="17" t="s">
        <v>102</v>
      </c>
      <c r="G195" s="17" t="str" cm="1">
        <f t="array" ref="G195">IF($F195="Information Disclosure",Formatação!J$5,IF($F195="Repudiation",Formatação!J$4,IF($F195="Spoofing",Formatação!J$2,IF($F195="Tampering",Formatação!J$3, IF($F195="Denial of Service",Formatação!J$6,IF($F195="Elevation of Privilege",Formatação!J$7,IF($F195="Lateral Movement",Formatação!J$8,Errado)))))))</f>
        <v>Fraudes/Vazamento de dados</v>
      </c>
      <c r="H195" s="17" t="s">
        <v>271</v>
      </c>
      <c r="I195" s="17" t="s">
        <v>409</v>
      </c>
      <c r="J195" s="17" t="s">
        <v>413</v>
      </c>
      <c r="K195" s="17" t="s">
        <v>847</v>
      </c>
      <c r="L195" s="17" t="s">
        <v>847</v>
      </c>
      <c r="M195" s="17" t="s">
        <v>847</v>
      </c>
      <c r="N195" s="17" t="s">
        <v>847</v>
      </c>
      <c r="O195" s="17" t="s">
        <v>849</v>
      </c>
      <c r="P195" s="17" t="s">
        <v>848</v>
      </c>
      <c r="Q195" s="17" t="s">
        <v>848</v>
      </c>
      <c r="R195" s="17" t="s">
        <v>848</v>
      </c>
      <c r="S195" s="17" t="s">
        <v>848</v>
      </c>
      <c r="T195" s="17" t="s">
        <v>848</v>
      </c>
      <c r="U195" s="17" t="s">
        <v>848</v>
      </c>
      <c r="V195" s="17" t="s">
        <v>848</v>
      </c>
      <c r="W195" s="17">
        <f t="shared" si="10"/>
        <v>23</v>
      </c>
      <c r="X195" s="17" t="str">
        <f t="shared" si="11"/>
        <v>Crítico</v>
      </c>
      <c r="Y195" s="17" t="s">
        <v>851</v>
      </c>
      <c r="Z195" s="17" t="s">
        <v>2435</v>
      </c>
      <c r="AA195" s="17" t="s">
        <v>2149</v>
      </c>
      <c r="AB195" s="17" t="s">
        <v>856</v>
      </c>
      <c r="AC195" s="17"/>
      <c r="AD195" s="17"/>
      <c r="AE195" s="17"/>
    </row>
    <row r="196" spans="1:31" ht="35.25" customHeight="1">
      <c r="A196" s="21" t="s">
        <v>2436</v>
      </c>
      <c r="B196" s="53" t="s">
        <v>539</v>
      </c>
      <c r="C196" s="17" t="s">
        <v>740</v>
      </c>
      <c r="D196" s="17" t="s">
        <v>270</v>
      </c>
      <c r="E196" s="17" t="str" cm="1">
        <f t="array" ref="E196">IF($F196="Information Disclosure",Formatação!H$5,IF($F196="Repudiation",Formatação!H$4,IF($F196="Spoofing",Formatação!H$2,IF($F196="Tampering",Formatação!H$3, IF($F196="Denial of Service",Formatação!H$6,IF($F196="Elevation of Privilege",Formatação!H$7,IF($F196="Lateral Movement",Formatação!H$8,Errado)))))))</f>
        <v>Autorização</v>
      </c>
      <c r="F196" s="17" t="s">
        <v>22</v>
      </c>
      <c r="G196" s="17" t="str" cm="1">
        <f t="array" ref="G196">IF($F196="Information Disclosure",Formatação!J$5,IF($F196="Repudiation",Formatação!J$4,IF($F196="Spoofing",Formatação!J$2,IF($F196="Tampering",Formatação!J$3, IF($F196="Denial of Service",Formatação!J$6,IF($F196="Elevation of Privilege",Formatação!J$7,IF($F196="Lateral Movement",Formatação!J$8,Errado)))))))</f>
        <v>Danos financeiros/Vazamento de dados</v>
      </c>
      <c r="H196" s="17" t="s">
        <v>23</v>
      </c>
      <c r="I196" s="17" t="s">
        <v>409</v>
      </c>
      <c r="J196" s="17" t="s">
        <v>413</v>
      </c>
      <c r="K196" s="17" t="s">
        <v>847</v>
      </c>
      <c r="L196" s="17" t="s">
        <v>847</v>
      </c>
      <c r="M196" s="17" t="s">
        <v>847</v>
      </c>
      <c r="N196" s="17" t="s">
        <v>847</v>
      </c>
      <c r="O196" s="17" t="s">
        <v>1614</v>
      </c>
      <c r="P196" s="17" t="s">
        <v>848</v>
      </c>
      <c r="Q196" s="17" t="s">
        <v>848</v>
      </c>
      <c r="R196" s="17" t="s">
        <v>849</v>
      </c>
      <c r="S196" s="17" t="s">
        <v>849</v>
      </c>
      <c r="T196" s="17" t="s">
        <v>849</v>
      </c>
      <c r="U196" s="17" t="s">
        <v>849</v>
      </c>
      <c r="V196" s="17" t="s">
        <v>848</v>
      </c>
      <c r="W196" s="17">
        <f t="shared" si="10"/>
        <v>17</v>
      </c>
      <c r="X196" s="17" t="str">
        <f t="shared" si="11"/>
        <v>Alto</v>
      </c>
      <c r="Y196" s="17" t="s">
        <v>851</v>
      </c>
      <c r="Z196" s="17" t="s">
        <v>2435</v>
      </c>
      <c r="AA196" s="17" t="s">
        <v>2149</v>
      </c>
      <c r="AB196" s="17" t="s">
        <v>856</v>
      </c>
      <c r="AC196" s="17"/>
      <c r="AD196" s="17"/>
      <c r="AE196" s="17"/>
    </row>
    <row r="197" spans="1:31" ht="35.25" customHeight="1">
      <c r="A197" s="21" t="s">
        <v>2437</v>
      </c>
      <c r="B197" s="53" t="s">
        <v>548</v>
      </c>
      <c r="C197" s="17" t="s">
        <v>741</v>
      </c>
      <c r="D197" s="17" t="s">
        <v>270</v>
      </c>
      <c r="E197" s="17" t="str" cm="1">
        <f t="array" ref="E197">IF($F197="Information Disclosure",Formatação!H$5,IF($F197="Repudiation",Formatação!H$4,IF($F197="Spoofing",Formatação!H$2,IF($F197="Tampering",Formatação!H$3, IF($F197="Denial of Service",Formatação!H$6,IF($F197="Elevation of Privilege",Formatação!H$7,IF($F197="Lateral Movement",Formatação!H$8,Errado)))))))</f>
        <v>Autenticação</v>
      </c>
      <c r="F197" s="17" t="s">
        <v>102</v>
      </c>
      <c r="G197" s="17" t="str" cm="1">
        <f t="array" ref="G197">IF($F197="Information Disclosure",Formatação!J$5,IF($F197="Repudiation",Formatação!J$4,IF($F197="Spoofing",Formatação!J$2,IF($F197="Tampering",Formatação!J$3, IF($F197="Denial of Service",Formatação!J$6,IF($F197="Elevation of Privilege",Formatação!J$7,IF($F197="Lateral Movement",Formatação!J$8,Errado)))))))</f>
        <v>Fraudes/Vazamento de dados</v>
      </c>
      <c r="H197" s="17" t="s">
        <v>271</v>
      </c>
      <c r="I197" s="17" t="s">
        <v>409</v>
      </c>
      <c r="J197" s="17" t="s">
        <v>413</v>
      </c>
      <c r="K197" s="17" t="s">
        <v>847</v>
      </c>
      <c r="L197" s="17" t="s">
        <v>847</v>
      </c>
      <c r="M197" s="17" t="s">
        <v>847</v>
      </c>
      <c r="N197" s="17" t="s">
        <v>847</v>
      </c>
      <c r="O197" s="17" t="s">
        <v>1614</v>
      </c>
      <c r="P197" s="17" t="s">
        <v>848</v>
      </c>
      <c r="Q197" s="17" t="s">
        <v>848</v>
      </c>
      <c r="R197" s="17" t="s">
        <v>849</v>
      </c>
      <c r="S197" s="17" t="s">
        <v>849</v>
      </c>
      <c r="T197" s="17" t="s">
        <v>849</v>
      </c>
      <c r="U197" s="17" t="s">
        <v>849</v>
      </c>
      <c r="V197" s="17" t="s">
        <v>848</v>
      </c>
      <c r="W197" s="17">
        <f t="shared" si="10"/>
        <v>17</v>
      </c>
      <c r="X197" s="17" t="str">
        <f t="shared" si="11"/>
        <v>Alto</v>
      </c>
      <c r="Y197" s="17" t="s">
        <v>851</v>
      </c>
      <c r="Z197" s="17" t="s">
        <v>2435</v>
      </c>
      <c r="AA197" s="17" t="s">
        <v>2438</v>
      </c>
      <c r="AB197" s="17" t="s">
        <v>856</v>
      </c>
      <c r="AC197" s="17"/>
      <c r="AD197" s="17"/>
      <c r="AE197" s="17"/>
    </row>
    <row r="198" spans="1:31" ht="35.25" customHeight="1">
      <c r="A198" s="21" t="s">
        <v>2439</v>
      </c>
      <c r="B198" s="53" t="s">
        <v>2440</v>
      </c>
      <c r="C198" s="17" t="s">
        <v>742</v>
      </c>
      <c r="D198" s="17" t="s">
        <v>270</v>
      </c>
      <c r="E198" s="17" t="str" cm="1">
        <f t="array" ref="E198">IF($F198="Information Disclosure",Formatação!H$5,IF($F198="Repudiation",Formatação!H$4,IF($F198="Spoofing",Formatação!H$2,IF($F198="Tampering",Formatação!H$3, IF($F198="Denial of Service",Formatação!H$6,IF($F198="Elevation of Privilege",Formatação!H$7,IF($F198="Lateral Movement",Formatação!H$8,Errado)))))))</f>
        <v>Autenticação</v>
      </c>
      <c r="F198" s="17" t="s">
        <v>102</v>
      </c>
      <c r="G198" s="17" t="str" cm="1">
        <f t="array" ref="G198">IF($F198="Information Disclosure",Formatação!J$5,IF($F198="Repudiation",Formatação!J$4,IF($F198="Spoofing",Formatação!J$2,IF($F198="Tampering",Formatação!J$3, IF($F198="Denial of Service",Formatação!J$6,IF($F198="Elevation of Privilege",Formatação!J$7,IF($F198="Lateral Movement",Formatação!J$8,Errado)))))))</f>
        <v>Fraudes/Vazamento de dados</v>
      </c>
      <c r="H198" s="17" t="s">
        <v>271</v>
      </c>
      <c r="I198" s="17" t="s">
        <v>409</v>
      </c>
      <c r="J198" s="17" t="s">
        <v>413</v>
      </c>
      <c r="K198" s="17" t="s">
        <v>847</v>
      </c>
      <c r="L198" s="17" t="s">
        <v>847</v>
      </c>
      <c r="M198" s="17" t="s">
        <v>847</v>
      </c>
      <c r="N198" s="17" t="s">
        <v>847</v>
      </c>
      <c r="O198" s="17" t="s">
        <v>1614</v>
      </c>
      <c r="P198" s="17" t="s">
        <v>848</v>
      </c>
      <c r="Q198" s="17" t="s">
        <v>848</v>
      </c>
      <c r="R198" s="17" t="s">
        <v>849</v>
      </c>
      <c r="S198" s="17" t="s">
        <v>849</v>
      </c>
      <c r="T198" s="17" t="s">
        <v>849</v>
      </c>
      <c r="U198" s="17" t="s">
        <v>849</v>
      </c>
      <c r="V198" s="17" t="s">
        <v>850</v>
      </c>
      <c r="W198" s="17">
        <f t="shared" si="10"/>
        <v>16</v>
      </c>
      <c r="X198" s="17" t="str">
        <f t="shared" si="11"/>
        <v>Alto</v>
      </c>
      <c r="Y198" s="17" t="s">
        <v>862</v>
      </c>
      <c r="Z198" s="17" t="s">
        <v>2441</v>
      </c>
      <c r="AA198" s="17" t="s">
        <v>2396</v>
      </c>
      <c r="AB198" s="17" t="s">
        <v>856</v>
      </c>
      <c r="AC198" s="17"/>
      <c r="AD198" s="17"/>
      <c r="AE198" s="17"/>
    </row>
    <row r="199" spans="1:31" ht="35.25" customHeight="1">
      <c r="A199" s="21" t="s">
        <v>2442</v>
      </c>
      <c r="B199" s="53" t="s">
        <v>562</v>
      </c>
      <c r="C199" s="17" t="s">
        <v>743</v>
      </c>
      <c r="D199" s="17" t="s">
        <v>270</v>
      </c>
      <c r="E199" s="17" t="str" cm="1">
        <f t="array" ref="E199">IF($F199="Information Disclosure",Formatação!H$5,IF($F199="Repudiation",Formatação!H$4,IF($F199="Spoofing",Formatação!H$2,IF($F199="Tampering",Formatação!H$3, IF($F199="Denial of Service",Formatação!H$6,IF($F199="Elevation of Privilege",Formatação!H$7,IF($F199="Lateral Movement",Formatação!H$8,Errado)))))))</f>
        <v>Não repúdio</v>
      </c>
      <c r="F199" s="17" t="s">
        <v>32</v>
      </c>
      <c r="G199" s="17" t="str" cm="1">
        <f t="array" ref="G199">IF($F199="Information Disclosure",Formatação!J$5,IF($F199="Repudiation",Formatação!J$4,IF($F199="Spoofing",Formatação!J$2,IF($F199="Tampering",Formatação!J$3, IF($F199="Denial of Service",Formatação!J$6,IF($F199="Elevation of Privilege",Formatação!J$7,IF($F199="Lateral Movement",Formatação!J$8,Errado)))))))</f>
        <v>Regulatório/Compliance</v>
      </c>
      <c r="H199" s="17" t="s">
        <v>33</v>
      </c>
      <c r="I199" s="17" t="s">
        <v>409</v>
      </c>
      <c r="J199" s="17" t="s">
        <v>413</v>
      </c>
      <c r="K199" s="17" t="s">
        <v>847</v>
      </c>
      <c r="L199" s="17" t="s">
        <v>847</v>
      </c>
      <c r="M199" s="17" t="s">
        <v>847</v>
      </c>
      <c r="N199" s="17" t="s">
        <v>847</v>
      </c>
      <c r="O199" s="17" t="s">
        <v>1614</v>
      </c>
      <c r="P199" s="17" t="s">
        <v>849</v>
      </c>
      <c r="Q199" s="17" t="s">
        <v>848</v>
      </c>
      <c r="R199" s="17" t="s">
        <v>849</v>
      </c>
      <c r="S199" s="17" t="s">
        <v>849</v>
      </c>
      <c r="T199" s="17" t="s">
        <v>849</v>
      </c>
      <c r="U199" s="17" t="s">
        <v>849</v>
      </c>
      <c r="V199" s="17" t="s">
        <v>849</v>
      </c>
      <c r="W199" s="17">
        <f t="shared" si="10"/>
        <v>15</v>
      </c>
      <c r="X199" s="17" t="str">
        <f t="shared" si="11"/>
        <v>Alto</v>
      </c>
      <c r="Y199" s="17" t="s">
        <v>851</v>
      </c>
      <c r="Z199" s="17" t="s">
        <v>2441</v>
      </c>
      <c r="AA199" s="17" t="s">
        <v>2443</v>
      </c>
      <c r="AB199" s="17" t="s">
        <v>856</v>
      </c>
      <c r="AC199" s="17"/>
      <c r="AD199" s="17"/>
      <c r="AE199" s="17"/>
    </row>
    <row r="200" spans="1:31" ht="35.25" customHeight="1">
      <c r="A200" s="21" t="s">
        <v>2444</v>
      </c>
      <c r="B200" s="53" t="s">
        <v>566</v>
      </c>
      <c r="C200" s="17" t="s">
        <v>744</v>
      </c>
      <c r="D200" s="17" t="s">
        <v>270</v>
      </c>
      <c r="E200" s="17" t="str" cm="1">
        <f t="array" ref="E200">IF($F200="Information Disclosure",Formatação!H$5,IF($F200="Repudiation",Formatação!H$4,IF($F200="Spoofing",Formatação!H$2,IF($F200="Tampering",Formatação!H$3, IF($F200="Denial of Service",Formatação!H$6,IF($F200="Elevation of Privilege",Formatação!H$7,IF($F200="Lateral Movement",Formatação!H$8,Errado)))))))</f>
        <v>Autenticação</v>
      </c>
      <c r="F200" s="17" t="s">
        <v>102</v>
      </c>
      <c r="G200" s="17" t="str" cm="1">
        <f t="array" ref="G200">IF($F200="Information Disclosure",Formatação!J$5,IF($F200="Repudiation",Formatação!J$4,IF($F200="Spoofing",Formatação!J$2,IF($F200="Tampering",Formatação!J$3, IF($F200="Denial of Service",Formatação!J$6,IF($F200="Elevation of Privilege",Formatação!J$7,IF($F200="Lateral Movement",Formatação!J$8,Errado)))))))</f>
        <v>Fraudes/Vazamento de dados</v>
      </c>
      <c r="H200" s="17" t="s">
        <v>271</v>
      </c>
      <c r="I200" s="17" t="s">
        <v>409</v>
      </c>
      <c r="J200" s="17" t="s">
        <v>413</v>
      </c>
      <c r="K200" s="17" t="s">
        <v>847</v>
      </c>
      <c r="L200" s="17" t="s">
        <v>847</v>
      </c>
      <c r="M200" s="17" t="s">
        <v>847</v>
      </c>
      <c r="N200" s="17" t="s">
        <v>847</v>
      </c>
      <c r="O200" s="17" t="s">
        <v>1614</v>
      </c>
      <c r="P200" s="17" t="s">
        <v>848</v>
      </c>
      <c r="Q200" s="17" t="s">
        <v>848</v>
      </c>
      <c r="R200" s="17" t="s">
        <v>849</v>
      </c>
      <c r="S200" s="17" t="s">
        <v>849</v>
      </c>
      <c r="T200" s="17" t="s">
        <v>849</v>
      </c>
      <c r="U200" s="17" t="s">
        <v>849</v>
      </c>
      <c r="V200" s="17" t="s">
        <v>850</v>
      </c>
      <c r="W200" s="17">
        <f t="shared" ref="W200:W263" si="12">SUM(
  IF($O200 = "Impacto direto", 3, IF($O200 = "Impacto indireto", 2, 0)),
  IF($P200 = "Impacto direto", 3, IF($P200 = "Impacto indireto", 2, 0)),
  IF($Q200 = "Impacto direto", 3, IF($Q200 = "Impacto indireto", 2, 0)),
  IF($R200 = "Impacto direto", 3, IF($R200 = "Impacto indireto", 2, 0)),
  IF($S200 = "Impacto direto", 3, IF($S200 = "Impacto indireto", 2, 0)),
  IF($T200 = "Impacto direto", 3, IF($T200 = "Impacto indireto", 2, 0)),
  IF($U200 = "Impacto direto", 3, IF($U200 = "Impacto indireto", 2, 0)),
  IF($V200 = "Impacto direto", 3, IF($V200 = "Impacto indireto", 2, 0))
)</f>
        <v>16</v>
      </c>
      <c r="X200" s="17" t="str">
        <f t="shared" ref="X200:X263" si="13">IF($W200&lt;=5, "Leve", IF($W200&lt;=8, "Baixo", IF($W200&lt;=14, "Moderado", IF($W200&lt;=18, "Alto", IF($W200&lt;=24, "Crítico", "ERRO")))))</f>
        <v>Alto</v>
      </c>
      <c r="Y200" s="17" t="s">
        <v>851</v>
      </c>
      <c r="Z200" s="17" t="s">
        <v>2445</v>
      </c>
      <c r="AA200" s="17" t="s">
        <v>2446</v>
      </c>
      <c r="AB200" s="17" t="s">
        <v>856</v>
      </c>
      <c r="AC200" s="17"/>
      <c r="AD200" s="17"/>
      <c r="AE200" s="17"/>
    </row>
    <row r="201" spans="1:31" ht="35.25" customHeight="1">
      <c r="A201" s="21" t="s">
        <v>2447</v>
      </c>
      <c r="B201" s="53" t="s">
        <v>727</v>
      </c>
      <c r="C201" s="17" t="s">
        <v>745</v>
      </c>
      <c r="D201" s="17" t="s">
        <v>270</v>
      </c>
      <c r="E201" s="17" t="str" cm="1">
        <f t="array" ref="E201">IF($F201="Information Disclosure",Formatação!H$5,IF($F201="Repudiation",Formatação!H$4,IF($F201="Spoofing",Formatação!H$2,IF($F201="Tampering",Formatação!H$3, IF($F201="Denial of Service",Formatação!H$6,IF($F201="Elevation of Privilege",Formatação!H$7,IF($F201="Lateral Movement",Formatação!H$8,Errado)))))))</f>
        <v>Autorização</v>
      </c>
      <c r="F201" s="17" t="s">
        <v>22</v>
      </c>
      <c r="G201" s="17" t="str" cm="1">
        <f t="array" ref="G201">IF($F201="Information Disclosure",Formatação!J$5,IF($F201="Repudiation",Formatação!J$4,IF($F201="Spoofing",Formatação!J$2,IF($F201="Tampering",Formatação!J$3, IF($F201="Denial of Service",Formatação!J$6,IF($F201="Elevation of Privilege",Formatação!J$7,IF($F201="Lateral Movement",Formatação!J$8,Errado)))))))</f>
        <v>Danos financeiros/Vazamento de dados</v>
      </c>
      <c r="H201" s="17" t="s">
        <v>23</v>
      </c>
      <c r="I201" s="17" t="s">
        <v>409</v>
      </c>
      <c r="J201" s="17" t="s">
        <v>413</v>
      </c>
      <c r="K201" s="17" t="s">
        <v>847</v>
      </c>
      <c r="L201" s="17" t="s">
        <v>847</v>
      </c>
      <c r="M201" s="17" t="s">
        <v>847</v>
      </c>
      <c r="N201" s="17" t="s">
        <v>847</v>
      </c>
      <c r="O201" s="17" t="s">
        <v>1614</v>
      </c>
      <c r="P201" s="17" t="s">
        <v>848</v>
      </c>
      <c r="Q201" s="17" t="s">
        <v>848</v>
      </c>
      <c r="R201" s="17" t="s">
        <v>849</v>
      </c>
      <c r="S201" s="17" t="s">
        <v>849</v>
      </c>
      <c r="T201" s="17" t="s">
        <v>849</v>
      </c>
      <c r="U201" s="17" t="s">
        <v>849</v>
      </c>
      <c r="V201" s="17" t="s">
        <v>850</v>
      </c>
      <c r="W201" s="17">
        <f t="shared" si="12"/>
        <v>16</v>
      </c>
      <c r="X201" s="17" t="str">
        <f t="shared" si="13"/>
        <v>Alto</v>
      </c>
      <c r="Y201" s="17" t="s">
        <v>1704</v>
      </c>
      <c r="Z201" s="17" t="s">
        <v>2445</v>
      </c>
      <c r="AA201" s="17" t="s">
        <v>2446</v>
      </c>
      <c r="AB201" s="17" t="s">
        <v>856</v>
      </c>
      <c r="AC201" s="17"/>
      <c r="AD201" s="17"/>
      <c r="AE201" s="17"/>
    </row>
    <row r="202" spans="1:31" ht="35.25" customHeight="1">
      <c r="A202" s="21" t="s">
        <v>2448</v>
      </c>
      <c r="B202" s="53" t="s">
        <v>570</v>
      </c>
      <c r="C202" s="17" t="s">
        <v>746</v>
      </c>
      <c r="D202" s="17" t="s">
        <v>270</v>
      </c>
      <c r="E202" s="17" t="str" cm="1">
        <f t="array" ref="E202">IF($F202="Information Disclosure",Formatação!H$5,IF($F202="Repudiation",Formatação!H$4,IF($F202="Spoofing",Formatação!H$2,IF($F202="Tampering",Formatação!H$3, IF($F202="Denial of Service",Formatação!H$6,IF($F202="Elevation of Privilege",Formatação!H$7,IF($F202="Lateral Movement",Formatação!H$8,Errado)))))))</f>
        <v>Autenticação</v>
      </c>
      <c r="F202" s="17" t="s">
        <v>102</v>
      </c>
      <c r="G202" s="17" t="str" cm="1">
        <f t="array" ref="G202">IF($F202="Information Disclosure",Formatação!J$5,IF($F202="Repudiation",Formatação!J$4,IF($F202="Spoofing",Formatação!J$2,IF($F202="Tampering",Formatação!J$3, IF($F202="Denial of Service",Formatação!J$6,IF($F202="Elevation of Privilege",Formatação!J$7,IF($F202="Lateral Movement",Formatação!J$8,Errado)))))))</f>
        <v>Fraudes/Vazamento de dados</v>
      </c>
      <c r="H202" s="17" t="s">
        <v>271</v>
      </c>
      <c r="I202" s="17" t="s">
        <v>409</v>
      </c>
      <c r="J202" s="17" t="s">
        <v>413</v>
      </c>
      <c r="K202" s="17" t="s">
        <v>847</v>
      </c>
      <c r="L202" s="17" t="s">
        <v>847</v>
      </c>
      <c r="M202" s="17" t="s">
        <v>847</v>
      </c>
      <c r="N202" s="17" t="s">
        <v>847</v>
      </c>
      <c r="O202" s="17" t="s">
        <v>1614</v>
      </c>
      <c r="P202" s="17" t="s">
        <v>848</v>
      </c>
      <c r="Q202" s="17" t="s">
        <v>848</v>
      </c>
      <c r="R202" s="17" t="s">
        <v>849</v>
      </c>
      <c r="S202" s="17" t="s">
        <v>849</v>
      </c>
      <c r="T202" s="17" t="s">
        <v>849</v>
      </c>
      <c r="U202" s="17" t="s">
        <v>849</v>
      </c>
      <c r="V202" s="17" t="s">
        <v>848</v>
      </c>
      <c r="W202" s="17">
        <f t="shared" si="12"/>
        <v>17</v>
      </c>
      <c r="X202" s="17" t="str">
        <f t="shared" si="13"/>
        <v>Alto</v>
      </c>
      <c r="Y202" s="17" t="s">
        <v>851</v>
      </c>
      <c r="Z202" s="17" t="e" vm="1">
        <f>VLOOKUP(Tabela7[[#This Row],[Controle]],[1]!Tabela135[#Data],33,FALSE)</f>
        <v>#REF!</v>
      </c>
      <c r="AA202" s="17" t="e" vm="1">
        <f>VLOOKUP(Tabela7[[#This Row],[Controle]],[1]!Tabela135[#Data],34,FALSE)</f>
        <v>#REF!</v>
      </c>
      <c r="AB202" s="17" t="s">
        <v>856</v>
      </c>
      <c r="AC202" s="17"/>
      <c r="AD202" s="17"/>
      <c r="AE202" s="17"/>
    </row>
    <row r="203" spans="1:31" ht="35.25" customHeight="1">
      <c r="A203" s="21" t="s">
        <v>2449</v>
      </c>
      <c r="B203" s="53" t="s">
        <v>572</v>
      </c>
      <c r="C203" s="17" t="s">
        <v>747</v>
      </c>
      <c r="D203" s="17" t="s">
        <v>270</v>
      </c>
      <c r="E203" s="17" t="str" cm="1">
        <f t="array" ref="E203">IF($F203="Information Disclosure",Formatação!H$5,IF($F203="Repudiation",Formatação!H$4,IF($F203="Spoofing",Formatação!H$2,IF($F203="Tampering",Formatação!H$3, IF($F203="Denial of Service",Formatação!H$6,IF($F203="Elevation of Privilege",Formatação!H$7,IF($F203="Lateral Movement",Formatação!H$8,Errado)))))))</f>
        <v>Autenticação</v>
      </c>
      <c r="F203" s="17" t="s">
        <v>102</v>
      </c>
      <c r="G203" s="17" t="str" cm="1">
        <f t="array" ref="G203">IF($F203="Information Disclosure",Formatação!J$5,IF($F203="Repudiation",Formatação!J$4,IF($F203="Spoofing",Formatação!J$2,IF($F203="Tampering",Formatação!J$3, IF($F203="Denial of Service",Formatação!J$6,IF($F203="Elevation of Privilege",Formatação!J$7,IF($F203="Lateral Movement",Formatação!J$8,Errado)))))))</f>
        <v>Fraudes/Vazamento de dados</v>
      </c>
      <c r="H203" s="17" t="s">
        <v>271</v>
      </c>
      <c r="I203" s="17" t="s">
        <v>409</v>
      </c>
      <c r="J203" s="17" t="s">
        <v>413</v>
      </c>
      <c r="K203" s="17" t="s">
        <v>847</v>
      </c>
      <c r="L203" s="17" t="s">
        <v>847</v>
      </c>
      <c r="M203" s="17" t="s">
        <v>847</v>
      </c>
      <c r="N203" s="17" t="s">
        <v>1293</v>
      </c>
      <c r="O203" s="17" t="s">
        <v>1614</v>
      </c>
      <c r="P203" s="17" t="s">
        <v>848</v>
      </c>
      <c r="Q203" s="17" t="s">
        <v>848</v>
      </c>
      <c r="R203" s="17" t="s">
        <v>849</v>
      </c>
      <c r="S203" s="17" t="s">
        <v>849</v>
      </c>
      <c r="T203" s="17" t="s">
        <v>849</v>
      </c>
      <c r="U203" s="17" t="s">
        <v>849</v>
      </c>
      <c r="V203" s="17" t="s">
        <v>848</v>
      </c>
      <c r="W203" s="17">
        <f t="shared" si="12"/>
        <v>17</v>
      </c>
      <c r="X203" s="17" t="str">
        <f t="shared" si="13"/>
        <v>Alto</v>
      </c>
      <c r="Y203" s="17" t="s">
        <v>851</v>
      </c>
      <c r="Z203" s="17" t="s">
        <v>2445</v>
      </c>
      <c r="AA203" s="17" t="s">
        <v>2446</v>
      </c>
      <c r="AB203" s="17" t="s">
        <v>856</v>
      </c>
      <c r="AC203" s="17"/>
      <c r="AD203" s="17"/>
      <c r="AE203" s="17"/>
    </row>
    <row r="204" spans="1:31" ht="35.25" customHeight="1">
      <c r="A204" s="21" t="s">
        <v>2450</v>
      </c>
      <c r="B204" s="53" t="s">
        <v>573</v>
      </c>
      <c r="C204" s="17" t="s">
        <v>748</v>
      </c>
      <c r="D204" s="17" t="s">
        <v>270</v>
      </c>
      <c r="E204" s="17" t="str" cm="1">
        <f t="array" ref="E204">IF($F204="Information Disclosure",Formatação!H$5,IF($F204="Repudiation",Formatação!H$4,IF($F204="Spoofing",Formatação!H$2,IF($F204="Tampering",Formatação!H$3, IF($F204="Denial of Service",Formatação!H$6,IF($F204="Elevation of Privilege",Formatação!H$7,IF($F204="Lateral Movement",Formatação!H$8,Errado)))))))</f>
        <v>Autenticação</v>
      </c>
      <c r="F204" s="17" t="s">
        <v>102</v>
      </c>
      <c r="G204" s="17" t="str" cm="1">
        <f t="array" ref="G204">IF($F204="Information Disclosure",Formatação!J$5,IF($F204="Repudiation",Formatação!J$4,IF($F204="Spoofing",Formatação!J$2,IF($F204="Tampering",Formatação!J$3, IF($F204="Denial of Service",Formatação!J$6,IF($F204="Elevation of Privilege",Formatação!J$7,IF($F204="Lateral Movement",Formatação!J$8,Errado)))))))</f>
        <v>Fraudes/Vazamento de dados</v>
      </c>
      <c r="H204" s="17" t="s">
        <v>271</v>
      </c>
      <c r="I204" s="17" t="s">
        <v>409</v>
      </c>
      <c r="J204" s="17" t="s">
        <v>413</v>
      </c>
      <c r="K204" s="17" t="s">
        <v>847</v>
      </c>
      <c r="L204" s="17" t="s">
        <v>847</v>
      </c>
      <c r="M204" s="17" t="s">
        <v>847</v>
      </c>
      <c r="N204" s="17" t="s">
        <v>1293</v>
      </c>
      <c r="O204" s="17" t="s">
        <v>1614</v>
      </c>
      <c r="P204" s="17" t="s">
        <v>848</v>
      </c>
      <c r="Q204" s="17" t="s">
        <v>848</v>
      </c>
      <c r="R204" s="17" t="s">
        <v>849</v>
      </c>
      <c r="S204" s="17" t="s">
        <v>849</v>
      </c>
      <c r="T204" s="17" t="s">
        <v>849</v>
      </c>
      <c r="U204" s="17" t="s">
        <v>849</v>
      </c>
      <c r="V204" s="17" t="s">
        <v>848</v>
      </c>
      <c r="W204" s="17">
        <f t="shared" si="12"/>
        <v>17</v>
      </c>
      <c r="X204" s="17" t="str">
        <f t="shared" si="13"/>
        <v>Alto</v>
      </c>
      <c r="Y204" s="17" t="s">
        <v>851</v>
      </c>
      <c r="Z204" s="17" t="s">
        <v>2451</v>
      </c>
      <c r="AA204" s="17" t="s">
        <v>2262</v>
      </c>
      <c r="AB204" s="17" t="s">
        <v>856</v>
      </c>
      <c r="AC204" s="17"/>
      <c r="AD204" s="17"/>
      <c r="AE204" s="17"/>
    </row>
    <row r="205" spans="1:31" ht="35.25" customHeight="1">
      <c r="A205" s="21" t="s">
        <v>2452</v>
      </c>
      <c r="B205" s="53" t="s">
        <v>2453</v>
      </c>
      <c r="C205" s="17" t="s">
        <v>750</v>
      </c>
      <c r="D205" s="17" t="s">
        <v>270</v>
      </c>
      <c r="E205" s="17" t="str" cm="1">
        <f t="array" ref="E205">IF($F205="Information Disclosure",Formatação!H$5,IF($F205="Repudiation",Formatação!H$4,IF($F205="Spoofing",Formatação!H$2,IF($F205="Tampering",Formatação!H$3, IF($F205="Denial of Service",Formatação!H$6,IF($F205="Elevation of Privilege",Formatação!H$7,IF($F205="Lateral Movement",Formatação!H$8,Errado)))))))</f>
        <v>Autenticação</v>
      </c>
      <c r="F205" s="17" t="s">
        <v>102</v>
      </c>
      <c r="G205" s="17" t="str" cm="1">
        <f t="array" ref="G205">IF($F205="Information Disclosure",Formatação!J$5,IF($F205="Repudiation",Formatação!J$4,IF($F205="Spoofing",Formatação!J$2,IF($F205="Tampering",Formatação!J$3, IF($F205="Denial of Service",Formatação!J$6,IF($F205="Elevation of Privilege",Formatação!J$7,IF($F205="Lateral Movement",Formatação!J$8,Errado)))))))</f>
        <v>Fraudes/Vazamento de dados</v>
      </c>
      <c r="H205" s="17" t="s">
        <v>271</v>
      </c>
      <c r="I205" s="17" t="s">
        <v>409</v>
      </c>
      <c r="J205" s="17" t="s">
        <v>413</v>
      </c>
      <c r="K205" s="17" t="s">
        <v>847</v>
      </c>
      <c r="L205" s="17" t="s">
        <v>847</v>
      </c>
      <c r="M205" s="17" t="s">
        <v>847</v>
      </c>
      <c r="N205" s="17" t="s">
        <v>847</v>
      </c>
      <c r="O205" s="17" t="s">
        <v>849</v>
      </c>
      <c r="P205" s="17" t="s">
        <v>848</v>
      </c>
      <c r="Q205" s="17" t="s">
        <v>848</v>
      </c>
      <c r="R205" s="17" t="s">
        <v>849</v>
      </c>
      <c r="S205" s="17" t="s">
        <v>849</v>
      </c>
      <c r="T205" s="17" t="s">
        <v>849</v>
      </c>
      <c r="U205" s="17" t="s">
        <v>849</v>
      </c>
      <c r="V205" s="17" t="s">
        <v>850</v>
      </c>
      <c r="W205" s="17">
        <f t="shared" si="12"/>
        <v>18</v>
      </c>
      <c r="X205" s="17" t="str">
        <f t="shared" si="13"/>
        <v>Alto</v>
      </c>
      <c r="Y205" s="17" t="s">
        <v>851</v>
      </c>
      <c r="Z205" s="17" t="s">
        <v>2454</v>
      </c>
      <c r="AA205" s="17" t="s">
        <v>2455</v>
      </c>
      <c r="AB205" s="17" t="s">
        <v>856</v>
      </c>
      <c r="AC205" s="17"/>
      <c r="AD205" s="17"/>
      <c r="AE205" s="17"/>
    </row>
    <row r="206" spans="1:31" ht="35.25" customHeight="1">
      <c r="A206" s="21" t="s">
        <v>2456</v>
      </c>
      <c r="B206" s="53" t="s">
        <v>583</v>
      </c>
      <c r="C206" s="17" t="s">
        <v>751</v>
      </c>
      <c r="D206" s="17" t="s">
        <v>270</v>
      </c>
      <c r="E206" s="17" t="str" cm="1">
        <f t="array" ref="E206">IF($F206="Information Disclosure",Formatação!H$5,IF($F206="Repudiation",Formatação!H$4,IF($F206="Spoofing",Formatação!H$2,IF($F206="Tampering",Formatação!H$3, IF($F206="Denial of Service",Formatação!H$6,IF($F206="Elevation of Privilege",Formatação!H$7,IF($F206="Lateral Movement",Formatação!H$8,Errado)))))))</f>
        <v>Autorização</v>
      </c>
      <c r="F206" s="17" t="s">
        <v>22</v>
      </c>
      <c r="G206" s="17" t="str" cm="1">
        <f t="array" ref="G206">IF($F206="Information Disclosure",Formatação!J$5,IF($F206="Repudiation",Formatação!J$4,IF($F206="Spoofing",Formatação!J$2,IF($F206="Tampering",Formatação!J$3, IF($F206="Denial of Service",Formatação!J$6,IF($F206="Elevation of Privilege",Formatação!J$7,IF($F206="Lateral Movement",Formatação!J$8,Errado)))))))</f>
        <v>Danos financeiros/Vazamento de dados</v>
      </c>
      <c r="H206" s="17" t="s">
        <v>23</v>
      </c>
      <c r="I206" s="17" t="s">
        <v>409</v>
      </c>
      <c r="J206" s="17" t="s">
        <v>413</v>
      </c>
      <c r="K206" s="17" t="s">
        <v>847</v>
      </c>
      <c r="L206" s="17" t="s">
        <v>847</v>
      </c>
      <c r="M206" s="17" t="s">
        <v>847</v>
      </c>
      <c r="N206" s="17" t="s">
        <v>847</v>
      </c>
      <c r="O206" s="17" t="s">
        <v>849</v>
      </c>
      <c r="P206" s="17" t="s">
        <v>848</v>
      </c>
      <c r="Q206" s="17" t="s">
        <v>848</v>
      </c>
      <c r="R206" s="17" t="s">
        <v>849</v>
      </c>
      <c r="S206" s="17" t="s">
        <v>849</v>
      </c>
      <c r="T206" s="17" t="s">
        <v>849</v>
      </c>
      <c r="U206" s="17" t="s">
        <v>849</v>
      </c>
      <c r="V206" s="17" t="s">
        <v>850</v>
      </c>
      <c r="W206" s="17">
        <f t="shared" si="12"/>
        <v>18</v>
      </c>
      <c r="X206" s="17" t="str">
        <f t="shared" si="13"/>
        <v>Alto</v>
      </c>
      <c r="Y206" s="17" t="s">
        <v>851</v>
      </c>
      <c r="Z206" s="17" t="e" vm="1">
        <f>VLOOKUP(Tabela7[[#This Row],[Controle]],[1]!Tabela135[#Data],33,FALSE)</f>
        <v>#REF!</v>
      </c>
      <c r="AA206" s="17" t="e" vm="1">
        <f>VLOOKUP(Tabela7[[#This Row],[Controle]],[1]!Tabela135[#Data],34,FALSE)</f>
        <v>#REF!</v>
      </c>
      <c r="AB206" s="17" t="s">
        <v>856</v>
      </c>
      <c r="AC206" s="17"/>
      <c r="AD206" s="17"/>
      <c r="AE206" s="17"/>
    </row>
    <row r="207" spans="1:31" ht="35.25" customHeight="1">
      <c r="A207" s="21" t="s">
        <v>2457</v>
      </c>
      <c r="B207" s="53" t="s">
        <v>585</v>
      </c>
      <c r="C207" s="17" t="s">
        <v>752</v>
      </c>
      <c r="D207" s="17" t="s">
        <v>270</v>
      </c>
      <c r="E207" s="17" t="str" cm="1">
        <f t="array" ref="E207">IF($F207="Information Disclosure",Formatação!H$5,IF($F207="Repudiation",Formatação!H$4,IF($F207="Spoofing",Formatação!H$2,IF($F207="Tampering",Formatação!H$3, IF($F207="Denial of Service",Formatação!H$6,IF($F207="Elevation of Privilege",Formatação!H$7,IF($F207="Lateral Movement",Formatação!H$8,Errado)))))))</f>
        <v>Autenticação</v>
      </c>
      <c r="F207" s="17" t="s">
        <v>102</v>
      </c>
      <c r="G207" s="17" t="str" cm="1">
        <f t="array" ref="G207">IF($F207="Information Disclosure",Formatação!J$5,IF($F207="Repudiation",Formatação!J$4,IF($F207="Spoofing",Formatação!J$2,IF($F207="Tampering",Formatação!J$3, IF($F207="Denial of Service",Formatação!J$6,IF($F207="Elevation of Privilege",Formatação!J$7,IF($F207="Lateral Movement",Formatação!J$8,Errado)))))))</f>
        <v>Fraudes/Vazamento de dados</v>
      </c>
      <c r="H207" s="17" t="s">
        <v>271</v>
      </c>
      <c r="I207" s="17" t="s">
        <v>409</v>
      </c>
      <c r="J207" s="17" t="s">
        <v>413</v>
      </c>
      <c r="K207" s="17" t="s">
        <v>847</v>
      </c>
      <c r="L207" s="17" t="s">
        <v>847</v>
      </c>
      <c r="M207" s="17" t="s">
        <v>847</v>
      </c>
      <c r="N207" s="17" t="s">
        <v>847</v>
      </c>
      <c r="O207" s="17" t="s">
        <v>1614</v>
      </c>
      <c r="P207" s="17" t="s">
        <v>848</v>
      </c>
      <c r="Q207" s="17" t="s">
        <v>848</v>
      </c>
      <c r="R207" s="17" t="s">
        <v>849</v>
      </c>
      <c r="S207" s="17" t="s">
        <v>849</v>
      </c>
      <c r="T207" s="17" t="s">
        <v>849</v>
      </c>
      <c r="U207" s="17" t="s">
        <v>849</v>
      </c>
      <c r="V207" s="17" t="s">
        <v>848</v>
      </c>
      <c r="W207" s="17">
        <f t="shared" si="12"/>
        <v>17</v>
      </c>
      <c r="X207" s="17" t="str">
        <f t="shared" si="13"/>
        <v>Alto</v>
      </c>
      <c r="Y207" s="17" t="s">
        <v>851</v>
      </c>
      <c r="Z207" s="17" t="s">
        <v>2454</v>
      </c>
      <c r="AA207" s="17" t="s">
        <v>2455</v>
      </c>
      <c r="AB207" s="17" t="s">
        <v>856</v>
      </c>
      <c r="AC207" s="17"/>
      <c r="AD207" s="17"/>
      <c r="AE207" s="17"/>
    </row>
    <row r="208" spans="1:31" ht="35.25" customHeight="1">
      <c r="A208" s="21" t="s">
        <v>2458</v>
      </c>
      <c r="B208" s="53" t="s">
        <v>595</v>
      </c>
      <c r="C208" s="17" t="s">
        <v>753</v>
      </c>
      <c r="D208" s="17" t="s">
        <v>270</v>
      </c>
      <c r="E208" s="17" t="str" cm="1">
        <f t="array" ref="E208">IF($F208="Information Disclosure",Formatação!H$5,IF($F208="Repudiation",Formatação!H$4,IF($F208="Spoofing",Formatação!H$2,IF($F208="Tampering",Formatação!H$3, IF($F208="Denial of Service",Formatação!H$6,IF($F208="Elevation of Privilege",Formatação!H$7,IF($F208="Lateral Movement",Formatação!H$8,Errado)))))))</f>
        <v>Autenticação</v>
      </c>
      <c r="F208" s="17" t="s">
        <v>102</v>
      </c>
      <c r="G208" s="17" t="str" cm="1">
        <f t="array" ref="G208">IF($F208="Information Disclosure",Formatação!J$5,IF($F208="Repudiation",Formatação!J$4,IF($F208="Spoofing",Formatação!J$2,IF($F208="Tampering",Formatação!J$3, IF($F208="Denial of Service",Formatação!J$6,IF($F208="Elevation of Privilege",Formatação!J$7,IF($F208="Lateral Movement",Formatação!J$8,Errado)))))))</f>
        <v>Fraudes/Vazamento de dados</v>
      </c>
      <c r="H208" s="17" t="s">
        <v>271</v>
      </c>
      <c r="I208" s="17" t="s">
        <v>409</v>
      </c>
      <c r="J208" s="17" t="s">
        <v>413</v>
      </c>
      <c r="K208" s="17" t="s">
        <v>847</v>
      </c>
      <c r="L208" s="17" t="s">
        <v>847</v>
      </c>
      <c r="M208" s="17" t="s">
        <v>847</v>
      </c>
      <c r="N208" s="17" t="s">
        <v>1293</v>
      </c>
      <c r="O208" s="17" t="s">
        <v>1614</v>
      </c>
      <c r="P208" s="17" t="s">
        <v>848</v>
      </c>
      <c r="Q208" s="17" t="s">
        <v>848</v>
      </c>
      <c r="R208" s="17" t="s">
        <v>849</v>
      </c>
      <c r="S208" s="17" t="s">
        <v>849</v>
      </c>
      <c r="T208" s="17" t="s">
        <v>849</v>
      </c>
      <c r="U208" s="17" t="s">
        <v>849</v>
      </c>
      <c r="V208" s="17" t="s">
        <v>848</v>
      </c>
      <c r="W208" s="17">
        <f t="shared" si="12"/>
        <v>17</v>
      </c>
      <c r="X208" s="17" t="str">
        <f t="shared" si="13"/>
        <v>Alto</v>
      </c>
      <c r="Y208" s="17" t="s">
        <v>851</v>
      </c>
      <c r="Z208" s="17" t="s">
        <v>2454</v>
      </c>
      <c r="AA208" s="17" t="s">
        <v>2455</v>
      </c>
      <c r="AB208" s="17" t="s">
        <v>856</v>
      </c>
      <c r="AC208" s="17"/>
      <c r="AD208" s="17"/>
      <c r="AE208" s="17"/>
    </row>
    <row r="209" spans="1:31" ht="35.25" customHeight="1">
      <c r="A209" s="21" t="s">
        <v>2459</v>
      </c>
      <c r="B209" s="28" t="s">
        <v>597</v>
      </c>
      <c r="C209" s="17" t="s">
        <v>754</v>
      </c>
      <c r="D209" s="17" t="s">
        <v>270</v>
      </c>
      <c r="E209" s="17" t="str" cm="1">
        <f t="array" ref="E209">IF($F209="Information Disclosure",Formatação!H$5,IF($F209="Repudiation",Formatação!H$4,IF($F209="Spoofing",Formatação!H$2,IF($F209="Tampering",Formatação!H$3, IF($F209="Denial of Service",Formatação!H$6,IF($F209="Elevation of Privilege",Formatação!H$7,IF($F209="Lateral Movement",Formatação!H$8,Errado)))))))</f>
        <v>Autenticação</v>
      </c>
      <c r="F209" s="17" t="s">
        <v>102</v>
      </c>
      <c r="G209" s="17" t="str" cm="1">
        <f t="array" ref="G209">IF($F209="Information Disclosure",Formatação!J$5,IF($F209="Repudiation",Formatação!J$4,IF($F209="Spoofing",Formatação!J$2,IF($F209="Tampering",Formatação!J$3, IF($F209="Denial of Service",Formatação!J$6,IF($F209="Elevation of Privilege",Formatação!J$7,IF($F209="Lateral Movement",Formatação!J$8,Errado)))))))</f>
        <v>Fraudes/Vazamento de dados</v>
      </c>
      <c r="H209" s="26" t="s">
        <v>271</v>
      </c>
      <c r="I209" s="26" t="s">
        <v>409</v>
      </c>
      <c r="J209" s="26" t="s">
        <v>413</v>
      </c>
      <c r="K209" s="17" t="s">
        <v>847</v>
      </c>
      <c r="L209" s="17" t="s">
        <v>847</v>
      </c>
      <c r="M209" s="17" t="s">
        <v>847</v>
      </c>
      <c r="N209" s="17" t="s">
        <v>847</v>
      </c>
      <c r="O209" s="17" t="s">
        <v>1614</v>
      </c>
      <c r="P209" s="26" t="s">
        <v>848</v>
      </c>
      <c r="Q209" s="17" t="s">
        <v>848</v>
      </c>
      <c r="R209" s="17" t="s">
        <v>849</v>
      </c>
      <c r="S209" s="17" t="s">
        <v>849</v>
      </c>
      <c r="T209" s="17" t="s">
        <v>849</v>
      </c>
      <c r="U209" s="17" t="s">
        <v>849</v>
      </c>
      <c r="V209" s="26" t="s">
        <v>850</v>
      </c>
      <c r="W209" s="17">
        <f t="shared" si="12"/>
        <v>16</v>
      </c>
      <c r="X209" s="17" t="str">
        <f t="shared" si="13"/>
        <v>Alto</v>
      </c>
      <c r="Y209" s="17" t="s">
        <v>862</v>
      </c>
      <c r="Z209" s="17" t="s">
        <v>2460</v>
      </c>
      <c r="AA209" s="17" t="s">
        <v>2461</v>
      </c>
      <c r="AB209" s="26" t="s">
        <v>856</v>
      </c>
      <c r="AC209" s="26"/>
      <c r="AD209" s="26"/>
      <c r="AE209" s="17"/>
    </row>
    <row r="210" spans="1:31" ht="35.25" customHeight="1">
      <c r="A210" s="21" t="s">
        <v>2462</v>
      </c>
      <c r="B210" s="28" t="s">
        <v>338</v>
      </c>
      <c r="C210" s="17" t="s">
        <v>1155</v>
      </c>
      <c r="D210" s="17" t="s">
        <v>340</v>
      </c>
      <c r="E210" s="17" t="str" cm="1">
        <f t="array" ref="E210">IF($F210="Information Disclosure",Formatação!H$5,IF($F210="Repudiation",Formatação!H$4,IF($F210="Spoofing",Formatação!H$2,IF($F210="Tampering",Formatação!H$3, IF($F210="Denial of Service",Formatação!H$6,IF($F210="Elevation of Privilege",Formatação!H$7,IF($F210="Lateral Movement",Formatação!H$8,Errado)))))))</f>
        <v>Não repúdio</v>
      </c>
      <c r="F210" s="17" t="s">
        <v>32</v>
      </c>
      <c r="G210" s="17" t="str" cm="1">
        <f t="array" ref="G210">IF($F210="Information Disclosure",Formatação!J$5,IF($F210="Repudiation",Formatação!J$4,IF($F210="Spoofing",Formatação!J$2,IF($F210="Tampering",Formatação!J$3, IF($F210="Denial of Service",Formatação!J$6,IF($F210="Elevation of Privilege",Formatação!J$7,IF($F210="Lateral Movement",Formatação!J$8,Errado)))))))</f>
        <v>Regulatório/Compliance</v>
      </c>
      <c r="H210" s="26" t="s">
        <v>33</v>
      </c>
      <c r="I210" s="17" t="s">
        <v>425</v>
      </c>
      <c r="J210" s="17" t="s">
        <v>341</v>
      </c>
      <c r="K210" s="17" t="s">
        <v>847</v>
      </c>
      <c r="L210" s="17" t="s">
        <v>847</v>
      </c>
      <c r="M210" s="17" t="s">
        <v>847</v>
      </c>
      <c r="N210" s="17" t="s">
        <v>847</v>
      </c>
      <c r="O210" s="17" t="s">
        <v>1614</v>
      </c>
      <c r="P210" s="26" t="s">
        <v>1614</v>
      </c>
      <c r="Q210" s="17" t="s">
        <v>849</v>
      </c>
      <c r="R210" s="17" t="s">
        <v>849</v>
      </c>
      <c r="S210" s="17" t="s">
        <v>849</v>
      </c>
      <c r="T210" s="17" t="s">
        <v>849</v>
      </c>
      <c r="U210" s="17" t="s">
        <v>849</v>
      </c>
      <c r="V210" s="26" t="s">
        <v>850</v>
      </c>
      <c r="W210" s="17">
        <f t="shared" si="12"/>
        <v>12</v>
      </c>
      <c r="X210" s="17" t="str">
        <f t="shared" si="13"/>
        <v>Moderado</v>
      </c>
      <c r="Y210" s="26" t="s">
        <v>851</v>
      </c>
      <c r="Z210" s="17" t="s">
        <v>2463</v>
      </c>
      <c r="AA210" s="17" t="s">
        <v>2446</v>
      </c>
      <c r="AB210" s="26" t="s">
        <v>987</v>
      </c>
      <c r="AC210" s="26"/>
      <c r="AD210" s="26"/>
      <c r="AE210" s="17"/>
    </row>
    <row r="211" spans="1:31" ht="35.25" customHeight="1">
      <c r="A211" s="21" t="s">
        <v>2464</v>
      </c>
      <c r="B211" s="53" t="s">
        <v>342</v>
      </c>
      <c r="C211" s="17" t="s">
        <v>1157</v>
      </c>
      <c r="D211" s="17" t="s">
        <v>340</v>
      </c>
      <c r="E211" s="17" t="str" cm="1">
        <f t="array" ref="E211">IF($F211="Information Disclosure",Formatação!H$5,IF($F211="Repudiation",Formatação!H$4,IF($F211="Spoofing",Formatação!H$2,IF($F211="Tampering",Formatação!H$3, IF($F211="Denial of Service",Formatação!H$6,IF($F211="Elevation of Privilege",Formatação!H$7,IF($F211="Lateral Movement",Formatação!H$8,Errado)))))))</f>
        <v>Não repúdio</v>
      </c>
      <c r="F211" s="17" t="s">
        <v>32</v>
      </c>
      <c r="G211" s="17" t="str" cm="1">
        <f t="array" ref="G211">IF($F211="Information Disclosure",Formatação!J$5,IF($F211="Repudiation",Formatação!J$4,IF($F211="Spoofing",Formatação!J$2,IF($F211="Tampering",Formatação!J$3, IF($F211="Denial of Service",Formatação!J$6,IF($F211="Elevation of Privilege",Formatação!J$7,IF($F211="Lateral Movement",Formatação!J$8,Errado)))))))</f>
        <v>Regulatório/Compliance</v>
      </c>
      <c r="H211" s="17" t="s">
        <v>33</v>
      </c>
      <c r="I211" s="17" t="s">
        <v>425</v>
      </c>
      <c r="J211" s="17" t="s">
        <v>341</v>
      </c>
      <c r="K211" s="17" t="s">
        <v>847</v>
      </c>
      <c r="L211" s="17" t="s">
        <v>847</v>
      </c>
      <c r="M211" s="17" t="s">
        <v>847</v>
      </c>
      <c r="N211" s="17" t="s">
        <v>847</v>
      </c>
      <c r="O211" s="17" t="s">
        <v>1614</v>
      </c>
      <c r="P211" s="26" t="s">
        <v>849</v>
      </c>
      <c r="Q211" s="17" t="s">
        <v>849</v>
      </c>
      <c r="R211" s="17" t="s">
        <v>849</v>
      </c>
      <c r="S211" s="17" t="s">
        <v>849</v>
      </c>
      <c r="T211" s="17" t="s">
        <v>849</v>
      </c>
      <c r="U211" s="17" t="s">
        <v>849</v>
      </c>
      <c r="V211" s="26" t="s">
        <v>850</v>
      </c>
      <c r="W211" s="17">
        <f t="shared" si="12"/>
        <v>14</v>
      </c>
      <c r="X211" s="17" t="str">
        <f t="shared" si="13"/>
        <v>Moderado</v>
      </c>
      <c r="Y211" s="26" t="s">
        <v>862</v>
      </c>
      <c r="Z211" s="17" t="e" vm="1">
        <f>VLOOKUP(Tabela7[[#This Row],[Controle]],[1]!Tabela135[#Data],33,FALSE)</f>
        <v>#REF!</v>
      </c>
      <c r="AA211" s="17" t="e" vm="1">
        <f>VLOOKUP(Tabela7[[#This Row],[Controle]],[1]!Tabela135[#Data],34,FALSE)</f>
        <v>#REF!</v>
      </c>
      <c r="AB211" s="26" t="s">
        <v>987</v>
      </c>
      <c r="AC211" s="26"/>
      <c r="AD211" s="17"/>
      <c r="AE211" s="17"/>
    </row>
    <row r="212" spans="1:31" ht="35.25" customHeight="1">
      <c r="A212" s="21" t="s">
        <v>2465</v>
      </c>
      <c r="B212" s="53" t="s">
        <v>344</v>
      </c>
      <c r="C212" s="17" t="s">
        <v>1159</v>
      </c>
      <c r="D212" s="17" t="s">
        <v>340</v>
      </c>
      <c r="E212" s="17" t="str" cm="1">
        <f t="array" ref="E212">IF($F212="Information Disclosure",Formatação!H$5,IF($F212="Repudiation",Formatação!H$4,IF($F212="Spoofing",Formatação!H$2,IF($F212="Tampering",Formatação!H$3, IF($F212="Denial of Service",Formatação!H$6,IF($F212="Elevation of Privilege",Formatação!H$7,IF($F212="Lateral Movement",Formatação!H$8,Errado)))))))</f>
        <v>Não repúdio</v>
      </c>
      <c r="F212" s="17" t="s">
        <v>32</v>
      </c>
      <c r="G212" s="17" t="str" cm="1">
        <f t="array" ref="G212">IF($F212="Information Disclosure",Formatação!J$5,IF($F212="Repudiation",Formatação!J$4,IF($F212="Spoofing",Formatação!J$2,IF($F212="Tampering",Formatação!J$3, IF($F212="Denial of Service",Formatação!J$6,IF($F212="Elevation of Privilege",Formatação!J$7,IF($F212="Lateral Movement",Formatação!J$8,Errado)))))))</f>
        <v>Regulatório/Compliance</v>
      </c>
      <c r="H212" s="17" t="s">
        <v>33</v>
      </c>
      <c r="I212" s="17" t="s">
        <v>425</v>
      </c>
      <c r="J212" s="17" t="s">
        <v>341</v>
      </c>
      <c r="K212" s="17" t="s">
        <v>847</v>
      </c>
      <c r="L212" s="17" t="s">
        <v>847</v>
      </c>
      <c r="M212" s="17" t="s">
        <v>847</v>
      </c>
      <c r="N212" s="17" t="s">
        <v>847</v>
      </c>
      <c r="O212" s="17" t="s">
        <v>1614</v>
      </c>
      <c r="P212" s="26" t="s">
        <v>848</v>
      </c>
      <c r="Q212" s="17" t="s">
        <v>848</v>
      </c>
      <c r="R212" s="17" t="s">
        <v>849</v>
      </c>
      <c r="S212" s="17" t="s">
        <v>849</v>
      </c>
      <c r="T212" s="17" t="s">
        <v>849</v>
      </c>
      <c r="U212" s="17" t="s">
        <v>849</v>
      </c>
      <c r="V212" s="26" t="s">
        <v>850</v>
      </c>
      <c r="W212" s="17">
        <f t="shared" si="12"/>
        <v>16</v>
      </c>
      <c r="X212" s="17" t="str">
        <f t="shared" si="13"/>
        <v>Alto</v>
      </c>
      <c r="Y212" s="26" t="s">
        <v>851</v>
      </c>
      <c r="Z212" s="17" t="s">
        <v>2463</v>
      </c>
      <c r="AA212" s="17" t="s">
        <v>2466</v>
      </c>
      <c r="AB212" s="26" t="s">
        <v>987</v>
      </c>
      <c r="AC212" s="26"/>
      <c r="AD212" s="17"/>
      <c r="AE212" s="17"/>
    </row>
    <row r="213" spans="1:31" ht="35.25" customHeight="1">
      <c r="A213" s="21" t="s">
        <v>2467</v>
      </c>
      <c r="B213" s="53" t="s">
        <v>1161</v>
      </c>
      <c r="C213" s="17" t="s">
        <v>1162</v>
      </c>
      <c r="D213" s="17" t="s">
        <v>340</v>
      </c>
      <c r="E213" s="17" t="str" cm="1">
        <f t="array" ref="E213">IF($F213="Information Disclosure",Formatação!H$5,IF($F213="Repudiation",Formatação!H$4,IF($F213="Spoofing",Formatação!H$2,IF($F213="Tampering",Formatação!H$3, IF($F213="Denial of Service",Formatação!H$6,IF($F213="Elevation of Privilege",Formatação!H$7,IF($F213="Lateral Movement",Formatação!H$8,Errado)))))))</f>
        <v>Não repúdio</v>
      </c>
      <c r="F213" s="17" t="s">
        <v>32</v>
      </c>
      <c r="G213" s="17" t="str" cm="1">
        <f t="array" ref="G213">IF($F213="Information Disclosure",Formatação!J$5,IF($F213="Repudiation",Formatação!J$4,IF($F213="Spoofing",Formatação!J$2,IF($F213="Tampering",Formatação!J$3, IF($F213="Denial of Service",Formatação!J$6,IF($F213="Elevation of Privilege",Formatação!J$7,IF($F213="Lateral Movement",Formatação!J$8,Errado)))))))</f>
        <v>Regulatório/Compliance</v>
      </c>
      <c r="H213" s="17" t="s">
        <v>29</v>
      </c>
      <c r="I213" s="17" t="s">
        <v>425</v>
      </c>
      <c r="J213" s="17" t="s">
        <v>341</v>
      </c>
      <c r="K213" s="17" t="s">
        <v>847</v>
      </c>
      <c r="L213" s="17" t="s">
        <v>847</v>
      </c>
      <c r="M213" s="17" t="s">
        <v>847</v>
      </c>
      <c r="N213" s="17" t="s">
        <v>847</v>
      </c>
      <c r="O213" s="17" t="s">
        <v>849</v>
      </c>
      <c r="P213" s="26" t="s">
        <v>848</v>
      </c>
      <c r="Q213" s="17" t="s">
        <v>848</v>
      </c>
      <c r="R213" s="17" t="s">
        <v>849</v>
      </c>
      <c r="S213" s="17" t="s">
        <v>849</v>
      </c>
      <c r="T213" s="17" t="s">
        <v>849</v>
      </c>
      <c r="U213" s="17" t="s">
        <v>849</v>
      </c>
      <c r="V213" s="26" t="s">
        <v>850</v>
      </c>
      <c r="W213" s="17">
        <f t="shared" si="12"/>
        <v>18</v>
      </c>
      <c r="X213" s="17" t="str">
        <f t="shared" si="13"/>
        <v>Alto</v>
      </c>
      <c r="Y213" s="26" t="s">
        <v>851</v>
      </c>
      <c r="Z213" s="17" t="s">
        <v>2463</v>
      </c>
      <c r="AA213" s="17" t="s">
        <v>2468</v>
      </c>
      <c r="AB213" s="26" t="s">
        <v>987</v>
      </c>
      <c r="AC213" s="26"/>
      <c r="AD213" s="17"/>
      <c r="AE213" s="17"/>
    </row>
    <row r="214" spans="1:31" ht="35.25" customHeight="1">
      <c r="A214" s="21" t="s">
        <v>2469</v>
      </c>
      <c r="B214" s="53" t="s">
        <v>349</v>
      </c>
      <c r="C214" s="17" t="s">
        <v>1164</v>
      </c>
      <c r="D214" s="17" t="s">
        <v>340</v>
      </c>
      <c r="E214" s="17" t="str" cm="1">
        <f t="array" ref="E214">IF($F214="Information Disclosure",Formatação!H$5,IF($F214="Repudiation",Formatação!H$4,IF($F214="Spoofing",Formatação!H$2,IF($F214="Tampering",Formatação!H$3, IF($F214="Denial of Service",Formatação!H$6,IF($F214="Elevation of Privilege",Formatação!H$7,IF($F214="Lateral Movement",Formatação!H$8,Errado)))))))</f>
        <v>Não repúdio</v>
      </c>
      <c r="F214" s="17" t="s">
        <v>32</v>
      </c>
      <c r="G214" s="17" t="str" cm="1">
        <f t="array" ref="G214">IF($F214="Information Disclosure",Formatação!J$5,IF($F214="Repudiation",Formatação!J$4,IF($F214="Spoofing",Formatação!J$2,IF($F214="Tampering",Formatação!J$3, IF($F214="Denial of Service",Formatação!J$6,IF($F214="Elevation of Privilege",Formatação!J$7,IF($F214="Lateral Movement",Formatação!J$8,Errado)))))))</f>
        <v>Regulatório/Compliance</v>
      </c>
      <c r="H214" s="17" t="s">
        <v>33</v>
      </c>
      <c r="I214" s="17" t="s">
        <v>425</v>
      </c>
      <c r="J214" s="17" t="s">
        <v>341</v>
      </c>
      <c r="K214" s="17" t="s">
        <v>847</v>
      </c>
      <c r="L214" s="17" t="s">
        <v>847</v>
      </c>
      <c r="M214" s="17" t="s">
        <v>847</v>
      </c>
      <c r="N214" s="17" t="s">
        <v>847</v>
      </c>
      <c r="O214" s="17" t="s">
        <v>1614</v>
      </c>
      <c r="P214" s="26" t="s">
        <v>849</v>
      </c>
      <c r="Q214" s="17" t="s">
        <v>849</v>
      </c>
      <c r="R214" s="17" t="s">
        <v>849</v>
      </c>
      <c r="S214" s="17" t="s">
        <v>849</v>
      </c>
      <c r="T214" s="17" t="s">
        <v>849</v>
      </c>
      <c r="U214" s="17" t="s">
        <v>849</v>
      </c>
      <c r="V214" s="26" t="s">
        <v>850</v>
      </c>
      <c r="W214" s="17">
        <f t="shared" si="12"/>
        <v>14</v>
      </c>
      <c r="X214" s="17" t="str">
        <f t="shared" si="13"/>
        <v>Moderado</v>
      </c>
      <c r="Y214" s="26" t="s">
        <v>851</v>
      </c>
      <c r="Z214" s="17" t="s">
        <v>2463</v>
      </c>
      <c r="AA214" s="17" t="s">
        <v>2470</v>
      </c>
      <c r="AB214" s="26" t="s">
        <v>987</v>
      </c>
      <c r="AC214" s="26"/>
      <c r="AD214" s="17"/>
      <c r="AE214" s="17"/>
    </row>
    <row r="215" spans="1:31" ht="35.25" customHeight="1">
      <c r="A215" s="21" t="s">
        <v>2471</v>
      </c>
      <c r="B215" s="53" t="s">
        <v>351</v>
      </c>
      <c r="C215" s="17" t="s">
        <v>1166</v>
      </c>
      <c r="D215" s="17" t="s">
        <v>340</v>
      </c>
      <c r="E215" s="17" t="str" cm="1">
        <f t="array" ref="E215">IF($F215="Information Disclosure",Formatação!H$5,IF($F215="Repudiation",Formatação!H$4,IF($F215="Spoofing",Formatação!H$2,IF($F215="Tampering",Formatação!H$3, IF($F215="Denial of Service",Formatação!H$6,IF($F215="Elevation of Privilege",Formatação!H$7,IF($F215="Lateral Movement",Formatação!H$8,Errado)))))))</f>
        <v>Não repúdio</v>
      </c>
      <c r="F215" s="17" t="s">
        <v>32</v>
      </c>
      <c r="G215" s="17" t="str" cm="1">
        <f t="array" ref="G215">IF($F215="Information Disclosure",Formatação!J$5,IF($F215="Repudiation",Formatação!J$4,IF($F215="Spoofing",Formatação!J$2,IF($F215="Tampering",Formatação!J$3, IF($F215="Denial of Service",Formatação!J$6,IF($F215="Elevation of Privilege",Formatação!J$7,IF($F215="Lateral Movement",Formatação!J$8,Errado)))))))</f>
        <v>Regulatório/Compliance</v>
      </c>
      <c r="H215" s="17" t="s">
        <v>33</v>
      </c>
      <c r="I215" s="17" t="s">
        <v>425</v>
      </c>
      <c r="J215" s="17" t="s">
        <v>341</v>
      </c>
      <c r="K215" s="17" t="s">
        <v>847</v>
      </c>
      <c r="L215" s="17" t="s">
        <v>847</v>
      </c>
      <c r="M215" s="17" t="s">
        <v>847</v>
      </c>
      <c r="N215" s="17" t="s">
        <v>847</v>
      </c>
      <c r="O215" s="17" t="s">
        <v>1614</v>
      </c>
      <c r="P215" s="17" t="s">
        <v>849</v>
      </c>
      <c r="Q215" s="17" t="s">
        <v>849</v>
      </c>
      <c r="R215" s="17" t="s">
        <v>849</v>
      </c>
      <c r="S215" s="17" t="s">
        <v>849</v>
      </c>
      <c r="T215" s="17" t="s">
        <v>849</v>
      </c>
      <c r="U215" s="17" t="s">
        <v>849</v>
      </c>
      <c r="V215" s="26" t="s">
        <v>850</v>
      </c>
      <c r="W215" s="17">
        <f t="shared" si="12"/>
        <v>14</v>
      </c>
      <c r="X215" s="17" t="str">
        <f t="shared" si="13"/>
        <v>Moderado</v>
      </c>
      <c r="Y215" s="26" t="s">
        <v>851</v>
      </c>
      <c r="Z215" s="17" t="s">
        <v>2472</v>
      </c>
      <c r="AA215" s="17" t="s">
        <v>2473</v>
      </c>
      <c r="AB215" s="26" t="s">
        <v>987</v>
      </c>
      <c r="AC215" s="26"/>
      <c r="AD215" s="17"/>
      <c r="AE215" s="17"/>
    </row>
    <row r="216" spans="1:31" ht="35.25" customHeight="1">
      <c r="A216" s="21" t="s">
        <v>2474</v>
      </c>
      <c r="B216" s="53" t="s">
        <v>353</v>
      </c>
      <c r="C216" s="17" t="s">
        <v>1168</v>
      </c>
      <c r="D216" s="17" t="s">
        <v>340</v>
      </c>
      <c r="E216" s="17" t="str" cm="1">
        <f t="array" ref="E216">IF($F216="Information Disclosure",Formatação!H$5,IF($F216="Repudiation",Formatação!H$4,IF($F216="Spoofing",Formatação!H$2,IF($F216="Tampering",Formatação!H$3, IF($F216="Denial of Service",Formatação!H$6,IF($F216="Elevation of Privilege",Formatação!H$7,IF($F216="Lateral Movement",Formatação!H$8,Errado)))))))</f>
        <v>Não repúdio</v>
      </c>
      <c r="F216" s="17" t="s">
        <v>32</v>
      </c>
      <c r="G216" s="17" t="str" cm="1">
        <f t="array" ref="G216">IF($F216="Information Disclosure",Formatação!J$5,IF($F216="Repudiation",Formatação!J$4,IF($F216="Spoofing",Formatação!J$2,IF($F216="Tampering",Formatação!J$3, IF($F216="Denial of Service",Formatação!J$6,IF($F216="Elevation of Privilege",Formatação!J$7,IF($F216="Lateral Movement",Formatação!J$8,Errado)))))))</f>
        <v>Regulatório/Compliance</v>
      </c>
      <c r="H216" s="17" t="s">
        <v>14</v>
      </c>
      <c r="I216" s="17" t="s">
        <v>425</v>
      </c>
      <c r="J216" s="17" t="s">
        <v>341</v>
      </c>
      <c r="K216" s="17" t="s">
        <v>847</v>
      </c>
      <c r="L216" s="17" t="s">
        <v>847</v>
      </c>
      <c r="M216" s="17" t="s">
        <v>847</v>
      </c>
      <c r="N216" s="17" t="s">
        <v>847</v>
      </c>
      <c r="O216" s="17" t="s">
        <v>1614</v>
      </c>
      <c r="P216" s="17" t="s">
        <v>849</v>
      </c>
      <c r="Q216" s="17" t="s">
        <v>848</v>
      </c>
      <c r="R216" s="17" t="s">
        <v>849</v>
      </c>
      <c r="S216" s="17" t="s">
        <v>849</v>
      </c>
      <c r="T216" s="17" t="s">
        <v>849</v>
      </c>
      <c r="U216" s="17" t="s">
        <v>849</v>
      </c>
      <c r="V216" s="17" t="s">
        <v>850</v>
      </c>
      <c r="W216" s="17">
        <f t="shared" si="12"/>
        <v>15</v>
      </c>
      <c r="X216" s="17" t="str">
        <f t="shared" si="13"/>
        <v>Alto</v>
      </c>
      <c r="Y216" s="17" t="s">
        <v>851</v>
      </c>
      <c r="Z216" s="17" t="s">
        <v>2472</v>
      </c>
      <c r="AA216" s="17" t="s">
        <v>2475</v>
      </c>
      <c r="AB216" s="17" t="s">
        <v>987</v>
      </c>
      <c r="AC216" s="17"/>
      <c r="AD216" s="17"/>
      <c r="AE216" s="17"/>
    </row>
    <row r="217" spans="1:31" ht="35.25" customHeight="1">
      <c r="A217" s="21" t="s">
        <v>2476</v>
      </c>
      <c r="B217" s="53" t="s">
        <v>355</v>
      </c>
      <c r="C217" s="17" t="s">
        <v>1170</v>
      </c>
      <c r="D217" s="17" t="s">
        <v>340</v>
      </c>
      <c r="E217" s="17" t="str" cm="1">
        <f t="array" ref="E217">IF($F217="Information Disclosure",Formatação!H$5,IF($F217="Repudiation",Formatação!H$4,IF($F217="Spoofing",Formatação!H$2,IF($F217="Tampering",Formatação!H$3, IF($F217="Denial of Service",Formatação!H$6,IF($F217="Elevation of Privilege",Formatação!H$7,IF($F217="Lateral Movement",Formatação!H$8,Errado)))))))</f>
        <v>Confidencialidade</v>
      </c>
      <c r="F217" s="17" t="s">
        <v>35</v>
      </c>
      <c r="G217" s="17" t="str" cm="1">
        <f t="array" ref="G217">IF($F217="Information Disclosure",Formatação!J$5,IF($F217="Repudiation",Formatação!J$4,IF($F217="Spoofing",Formatação!J$2,IF($F217="Tampering",Formatação!J$3, IF($F217="Denial of Service",Formatação!J$6,IF($F217="Elevation of Privilege",Formatação!J$7,IF($F217="Lateral Movement",Formatação!J$8,Errado)))))))</f>
        <v>Vazamento de dados</v>
      </c>
      <c r="H217" s="17" t="s">
        <v>29</v>
      </c>
      <c r="I217" s="17" t="s">
        <v>425</v>
      </c>
      <c r="J217" s="17" t="s">
        <v>357</v>
      </c>
      <c r="K217" s="17" t="s">
        <v>847</v>
      </c>
      <c r="L217" s="17" t="s">
        <v>847</v>
      </c>
      <c r="M217" s="17" t="s">
        <v>847</v>
      </c>
      <c r="N217" s="17" t="s">
        <v>847</v>
      </c>
      <c r="O217" s="17" t="s">
        <v>849</v>
      </c>
      <c r="P217" s="17" t="s">
        <v>848</v>
      </c>
      <c r="Q217" s="17" t="s">
        <v>848</v>
      </c>
      <c r="R217" s="17" t="s">
        <v>849</v>
      </c>
      <c r="S217" s="17" t="s">
        <v>849</v>
      </c>
      <c r="T217" s="17" t="s">
        <v>849</v>
      </c>
      <c r="U217" s="17" t="s">
        <v>849</v>
      </c>
      <c r="V217" s="17" t="s">
        <v>850</v>
      </c>
      <c r="W217" s="17">
        <f t="shared" si="12"/>
        <v>18</v>
      </c>
      <c r="X217" s="17" t="str">
        <f t="shared" si="13"/>
        <v>Alto</v>
      </c>
      <c r="Y217" s="17" t="s">
        <v>851</v>
      </c>
      <c r="Z217" s="17" t="s">
        <v>2472</v>
      </c>
      <c r="AA217" s="17" t="s">
        <v>2475</v>
      </c>
      <c r="AB217" s="17" t="s">
        <v>854</v>
      </c>
      <c r="AC217" s="17"/>
      <c r="AD217" s="17"/>
      <c r="AE217" s="17"/>
    </row>
    <row r="218" spans="1:31" ht="35.25" customHeight="1">
      <c r="A218" s="21" t="s">
        <v>2477</v>
      </c>
      <c r="B218" s="53" t="s">
        <v>358</v>
      </c>
      <c r="C218" s="17" t="s">
        <v>1172</v>
      </c>
      <c r="D218" s="17" t="s">
        <v>340</v>
      </c>
      <c r="E218" s="17" t="str" cm="1">
        <f t="array" ref="E218">IF($F218="Information Disclosure",Formatação!H$5,IF($F218="Repudiation",Formatação!H$4,IF($F218="Spoofing",Formatação!H$2,IF($F218="Tampering",Formatação!H$3, IF($F218="Denial of Service",Formatação!H$6,IF($F218="Elevation of Privilege",Formatação!H$7,IF($F218="Lateral Movement",Formatação!H$8,Errado)))))))</f>
        <v>Autorização</v>
      </c>
      <c r="F218" s="17" t="s">
        <v>22</v>
      </c>
      <c r="G218" s="17" t="str" cm="1">
        <f t="array" ref="G218">IF($F218="Information Disclosure",Formatação!J$5,IF($F218="Repudiation",Formatação!J$4,IF($F218="Spoofing",Formatação!J$2,IF($F218="Tampering",Formatação!J$3, IF($F218="Denial of Service",Formatação!J$6,IF($F218="Elevation of Privilege",Formatação!J$7,IF($F218="Lateral Movement",Formatação!J$8,Errado)))))))</f>
        <v>Danos financeiros/Vazamento de dados</v>
      </c>
      <c r="H218" s="17" t="s">
        <v>271</v>
      </c>
      <c r="I218" s="17" t="s">
        <v>425</v>
      </c>
      <c r="J218" s="17" t="s">
        <v>341</v>
      </c>
      <c r="K218" s="17" t="s">
        <v>847</v>
      </c>
      <c r="L218" s="17" t="s">
        <v>847</v>
      </c>
      <c r="M218" s="17" t="s">
        <v>847</v>
      </c>
      <c r="N218" s="17" t="s">
        <v>847</v>
      </c>
      <c r="O218" s="17" t="s">
        <v>849</v>
      </c>
      <c r="P218" s="17" t="s">
        <v>848</v>
      </c>
      <c r="Q218" s="17" t="s">
        <v>848</v>
      </c>
      <c r="R218" s="17" t="s">
        <v>849</v>
      </c>
      <c r="S218" s="17" t="s">
        <v>849</v>
      </c>
      <c r="T218" s="17" t="s">
        <v>849</v>
      </c>
      <c r="U218" s="17" t="s">
        <v>849</v>
      </c>
      <c r="V218" s="17" t="s">
        <v>850</v>
      </c>
      <c r="W218" s="17">
        <f t="shared" si="12"/>
        <v>18</v>
      </c>
      <c r="X218" s="17" t="str">
        <f t="shared" si="13"/>
        <v>Alto</v>
      </c>
      <c r="Y218" s="17" t="s">
        <v>851</v>
      </c>
      <c r="Z218" s="17" t="e" vm="1">
        <f>VLOOKUP(Tabela7[[#This Row],[Controle]],[1]!Tabela135[#Data],33,FALSE)</f>
        <v>#REF!</v>
      </c>
      <c r="AA218" s="17" t="e" vm="1">
        <f>VLOOKUP(Tabela7[[#This Row],[Controle]],[1]!Tabela135[#Data],34,FALSE)</f>
        <v>#REF!</v>
      </c>
      <c r="AB218" s="17" t="s">
        <v>987</v>
      </c>
      <c r="AC218" s="17"/>
      <c r="AD218" s="17"/>
      <c r="AE218" s="17"/>
    </row>
    <row r="219" spans="1:31" ht="35.25" customHeight="1">
      <c r="A219" s="21" t="s">
        <v>2478</v>
      </c>
      <c r="B219" s="53" t="s">
        <v>360</v>
      </c>
      <c r="C219" s="17" t="s">
        <v>1174</v>
      </c>
      <c r="D219" s="17" t="s">
        <v>340</v>
      </c>
      <c r="E219" s="17" t="str" cm="1">
        <f t="array" ref="E219">IF($F219="Information Disclosure",Formatação!H$5,IF($F219="Repudiation",Formatação!H$4,IF($F219="Spoofing",Formatação!H$2,IF($F219="Tampering",Formatação!H$3, IF($F219="Denial of Service",Formatação!H$6,IF($F219="Elevation of Privilege",Formatação!H$7,IF($F219="Lateral Movement",Formatação!H$8,Errado)))))))</f>
        <v>Não repúdio</v>
      </c>
      <c r="F219" s="17" t="s">
        <v>32</v>
      </c>
      <c r="G219" s="17" t="str" cm="1">
        <f t="array" ref="G219">IF($F219="Information Disclosure",Formatação!J$5,IF($F219="Repudiation",Formatação!J$4,IF($F219="Spoofing",Formatação!J$2,IF($F219="Tampering",Formatação!J$3, IF($F219="Denial of Service",Formatação!J$6,IF($F219="Elevation of Privilege",Formatação!J$7,IF($F219="Lateral Movement",Formatação!J$8,Errado)))))))</f>
        <v>Regulatório/Compliance</v>
      </c>
      <c r="H219" s="17" t="s">
        <v>33</v>
      </c>
      <c r="I219" s="17" t="s">
        <v>425</v>
      </c>
      <c r="J219" s="17" t="s">
        <v>341</v>
      </c>
      <c r="K219" s="17" t="s">
        <v>847</v>
      </c>
      <c r="L219" s="17" t="s">
        <v>847</v>
      </c>
      <c r="M219" s="17" t="s">
        <v>847</v>
      </c>
      <c r="N219" s="17" t="s">
        <v>847</v>
      </c>
      <c r="O219" s="17" t="s">
        <v>849</v>
      </c>
      <c r="P219" s="17" t="s">
        <v>848</v>
      </c>
      <c r="Q219" s="17" t="s">
        <v>848</v>
      </c>
      <c r="R219" s="17" t="s">
        <v>849</v>
      </c>
      <c r="S219" s="17" t="s">
        <v>849</v>
      </c>
      <c r="T219" s="17" t="s">
        <v>848</v>
      </c>
      <c r="U219" s="17" t="s">
        <v>848</v>
      </c>
      <c r="V219" s="17" t="s">
        <v>850</v>
      </c>
      <c r="W219" s="17">
        <f t="shared" si="12"/>
        <v>20</v>
      </c>
      <c r="X219" s="17" t="str">
        <f t="shared" si="13"/>
        <v>Crítico</v>
      </c>
      <c r="Y219" s="17" t="s">
        <v>851</v>
      </c>
      <c r="Z219" s="17" t="s">
        <v>2472</v>
      </c>
      <c r="AA219" s="17" t="s">
        <v>2475</v>
      </c>
      <c r="AB219" s="17" t="s">
        <v>987</v>
      </c>
      <c r="AC219" s="17"/>
      <c r="AD219" s="17"/>
      <c r="AE219" s="17"/>
    </row>
    <row r="220" spans="1:31" ht="35.25" customHeight="1">
      <c r="A220" s="21" t="s">
        <v>2479</v>
      </c>
      <c r="B220" s="53" t="s">
        <v>1176</v>
      </c>
      <c r="C220" s="17" t="s">
        <v>1177</v>
      </c>
      <c r="D220" s="17" t="s">
        <v>340</v>
      </c>
      <c r="E220" s="17" t="str" cm="1">
        <f t="array" ref="E220">IF($F220="Information Disclosure",Formatação!H$5,IF($F220="Repudiation",Formatação!H$4,IF($F220="Spoofing",Formatação!H$2,IF($F220="Tampering",Formatação!H$3, IF($F220="Denial of Service",Formatação!H$6,IF($F220="Elevation of Privilege",Formatação!H$7,IF($F220="Lateral Movement",Formatação!H$8,Errado)))))))</f>
        <v>Não repúdio</v>
      </c>
      <c r="F220" s="17" t="s">
        <v>32</v>
      </c>
      <c r="G220" s="17" t="str" cm="1">
        <f t="array" ref="G220">IF($F220="Information Disclosure",Formatação!J$5,IF($F220="Repudiation",Formatação!J$4,IF($F220="Spoofing",Formatação!J$2,IF($F220="Tampering",Formatação!J$3, IF($F220="Denial of Service",Formatação!J$6,IF($F220="Elevation of Privilege",Formatação!J$7,IF($F220="Lateral Movement",Formatação!J$8,Errado)))))))</f>
        <v>Regulatório/Compliance</v>
      </c>
      <c r="H220" s="17" t="s">
        <v>33</v>
      </c>
      <c r="I220" s="17" t="s">
        <v>425</v>
      </c>
      <c r="J220" s="17" t="s">
        <v>1178</v>
      </c>
      <c r="K220" s="17" t="s">
        <v>847</v>
      </c>
      <c r="L220" s="17" t="s">
        <v>847</v>
      </c>
      <c r="M220" s="17" t="s">
        <v>847</v>
      </c>
      <c r="N220" s="17" t="s">
        <v>847</v>
      </c>
      <c r="O220" s="17" t="s">
        <v>1614</v>
      </c>
      <c r="P220" s="17" t="s">
        <v>849</v>
      </c>
      <c r="Q220" s="17" t="s">
        <v>849</v>
      </c>
      <c r="R220" s="17" t="s">
        <v>849</v>
      </c>
      <c r="S220" s="17" t="s">
        <v>849</v>
      </c>
      <c r="T220" s="17" t="s">
        <v>849</v>
      </c>
      <c r="U220" s="17" t="s">
        <v>849</v>
      </c>
      <c r="V220" s="17" t="s">
        <v>850</v>
      </c>
      <c r="W220" s="17">
        <f t="shared" si="12"/>
        <v>14</v>
      </c>
      <c r="X220" s="17" t="str">
        <f t="shared" si="13"/>
        <v>Moderado</v>
      </c>
      <c r="Y220" s="17" t="s">
        <v>851</v>
      </c>
      <c r="Z220" s="17" t="s">
        <v>2480</v>
      </c>
      <c r="AA220" s="17" t="s">
        <v>2481</v>
      </c>
      <c r="AB220" s="17" t="s">
        <v>987</v>
      </c>
      <c r="AC220" s="17"/>
      <c r="AD220" s="17"/>
      <c r="AE220" s="17"/>
    </row>
    <row r="221" spans="1:31" ht="35.25" customHeight="1">
      <c r="A221" s="21" t="s">
        <v>2482</v>
      </c>
      <c r="B221" s="53" t="s">
        <v>365</v>
      </c>
      <c r="C221" s="17" t="s">
        <v>1180</v>
      </c>
      <c r="D221" s="17" t="s">
        <v>340</v>
      </c>
      <c r="E221" s="17" t="str" cm="1">
        <f t="array" ref="E221">IF($F221="Information Disclosure",Formatação!H$5,IF($F221="Repudiation",Formatação!H$4,IF($F221="Spoofing",Formatação!H$2,IF($F221="Tampering",Formatação!H$3, IF($F221="Denial of Service",Formatação!H$6,IF($F221="Elevation of Privilege",Formatação!H$7,IF($F221="Lateral Movement",Formatação!H$8,Errado)))))))</f>
        <v>Não repúdio</v>
      </c>
      <c r="F221" s="17" t="s">
        <v>32</v>
      </c>
      <c r="G221" s="17" t="str" cm="1">
        <f t="array" ref="G221">IF($F221="Information Disclosure",Formatação!J$5,IF($F221="Repudiation",Formatação!J$4,IF($F221="Spoofing",Formatação!J$2,IF($F221="Tampering",Formatação!J$3, IF($F221="Denial of Service",Formatação!J$6,IF($F221="Elevation of Privilege",Formatação!J$7,IF($F221="Lateral Movement",Formatação!J$8,Errado)))))))</f>
        <v>Regulatório/Compliance</v>
      </c>
      <c r="H221" s="17" t="s">
        <v>33</v>
      </c>
      <c r="I221" s="17" t="s">
        <v>425</v>
      </c>
      <c r="J221" s="17" t="s">
        <v>364</v>
      </c>
      <c r="K221" s="17" t="s">
        <v>1293</v>
      </c>
      <c r="L221" s="17" t="s">
        <v>847</v>
      </c>
      <c r="M221" s="17" t="s">
        <v>847</v>
      </c>
      <c r="N221" s="17" t="s">
        <v>847</v>
      </c>
      <c r="O221" s="17" t="s">
        <v>1614</v>
      </c>
      <c r="P221" s="17" t="s">
        <v>848</v>
      </c>
      <c r="Q221" s="17" t="s">
        <v>848</v>
      </c>
      <c r="R221" s="17" t="s">
        <v>849</v>
      </c>
      <c r="S221" s="17" t="s">
        <v>849</v>
      </c>
      <c r="T221" s="17" t="s">
        <v>849</v>
      </c>
      <c r="U221" s="17" t="s">
        <v>849</v>
      </c>
      <c r="V221" s="17" t="s">
        <v>850</v>
      </c>
      <c r="W221" s="17">
        <f t="shared" si="12"/>
        <v>16</v>
      </c>
      <c r="X221" s="17" t="str">
        <f t="shared" si="13"/>
        <v>Alto</v>
      </c>
      <c r="Y221" s="17" t="s">
        <v>851</v>
      </c>
      <c r="Z221" s="17" t="s">
        <v>2483</v>
      </c>
      <c r="AA221" s="17" t="s">
        <v>2484</v>
      </c>
      <c r="AB221" s="17" t="s">
        <v>993</v>
      </c>
      <c r="AC221" s="17"/>
      <c r="AD221" s="17"/>
      <c r="AE221" s="17"/>
    </row>
    <row r="222" spans="1:31" ht="35.25" customHeight="1">
      <c r="A222" s="21" t="s">
        <v>2485</v>
      </c>
      <c r="B222" s="53" t="s">
        <v>367</v>
      </c>
      <c r="C222" s="17" t="s">
        <v>1182</v>
      </c>
      <c r="D222" s="17" t="s">
        <v>340</v>
      </c>
      <c r="E222" s="17" t="str" cm="1">
        <f t="array" ref="E222">IF($F222="Information Disclosure",Formatação!H$5,IF($F222="Repudiation",Formatação!H$4,IF($F222="Spoofing",Formatação!H$2,IF($F222="Tampering",Formatação!H$3, IF($F222="Denial of Service",Formatação!H$6,IF($F222="Elevation of Privilege",Formatação!H$7,IF($F222="Lateral Movement",Formatação!H$8,Errado)))))))</f>
        <v>Não repúdio</v>
      </c>
      <c r="F222" s="17" t="s">
        <v>32</v>
      </c>
      <c r="G222" s="17" t="str" cm="1">
        <f t="array" ref="G222">IF($F222="Information Disclosure",Formatação!J$5,IF($F222="Repudiation",Formatação!J$4,IF($F222="Spoofing",Formatação!J$2,IF($F222="Tampering",Formatação!J$3, IF($F222="Denial of Service",Formatação!J$6,IF($F222="Elevation of Privilege",Formatação!J$7,IF($F222="Lateral Movement",Formatação!J$8,Errado)))))))</f>
        <v>Regulatório/Compliance</v>
      </c>
      <c r="H222" s="17" t="s">
        <v>33</v>
      </c>
      <c r="I222" s="17" t="s">
        <v>425</v>
      </c>
      <c r="J222" s="17" t="s">
        <v>364</v>
      </c>
      <c r="K222" s="17" t="s">
        <v>1293</v>
      </c>
      <c r="L222" s="17" t="s">
        <v>847</v>
      </c>
      <c r="M222" s="17" t="s">
        <v>847</v>
      </c>
      <c r="N222" s="17" t="s">
        <v>847</v>
      </c>
      <c r="O222" s="17" t="s">
        <v>1614</v>
      </c>
      <c r="P222" s="17" t="s">
        <v>849</v>
      </c>
      <c r="Q222" s="17" t="s">
        <v>848</v>
      </c>
      <c r="R222" s="17" t="s">
        <v>849</v>
      </c>
      <c r="S222" s="17" t="s">
        <v>849</v>
      </c>
      <c r="T222" s="17" t="s">
        <v>849</v>
      </c>
      <c r="U222" s="17" t="s">
        <v>849</v>
      </c>
      <c r="V222" s="17" t="s">
        <v>850</v>
      </c>
      <c r="W222" s="17">
        <f t="shared" si="12"/>
        <v>15</v>
      </c>
      <c r="X222" s="17" t="str">
        <f t="shared" si="13"/>
        <v>Alto</v>
      </c>
      <c r="Y222" s="17" t="s">
        <v>851</v>
      </c>
      <c r="Z222" s="17" t="s">
        <v>2472</v>
      </c>
      <c r="AA222" s="17" t="s">
        <v>2486</v>
      </c>
      <c r="AB222" s="17" t="s">
        <v>993</v>
      </c>
      <c r="AC222" s="17"/>
      <c r="AD222" s="17"/>
      <c r="AE222" s="17"/>
    </row>
    <row r="223" spans="1:31" ht="35.25" customHeight="1">
      <c r="A223" s="21" t="s">
        <v>2487</v>
      </c>
      <c r="B223" s="53" t="s">
        <v>2488</v>
      </c>
      <c r="C223" s="17" t="s">
        <v>2489</v>
      </c>
      <c r="D223" s="17" t="s">
        <v>340</v>
      </c>
      <c r="E223" s="17" t="str" cm="1">
        <f t="array" ref="E223">IF($F223="Information Disclosure",Formatação!H$5,IF($F223="Repudiation",Formatação!H$4,IF($F223="Spoofing",Formatação!H$2,IF($F223="Tampering",Formatação!H$3, IF($F223="Denial of Service",Formatação!H$6,IF($F223="Elevation of Privilege",Formatação!H$7,IF($F223="Lateral Movement",Formatação!H$8,Errado)))))))</f>
        <v>Confidencialidade</v>
      </c>
      <c r="F223" s="17" t="s">
        <v>35</v>
      </c>
      <c r="G223" s="17" t="str" cm="1">
        <f t="array" ref="G223">IF($F223="Information Disclosure",Formatação!J$5,IF($F223="Repudiation",Formatação!J$4,IF($F223="Spoofing",Formatação!J$2,IF($F223="Tampering",Formatação!J$3, IF($F223="Denial of Service",Formatação!J$6,IF($F223="Elevation of Privilege",Formatação!J$7,IF($F223="Lateral Movement",Formatação!J$8,Errado)))))))</f>
        <v>Vazamento de dados</v>
      </c>
      <c r="H223" s="17" t="s">
        <v>33</v>
      </c>
      <c r="I223" s="17" t="s">
        <v>964</v>
      </c>
      <c r="J223" s="17" t="s">
        <v>341</v>
      </c>
      <c r="K223" s="17" t="s">
        <v>847</v>
      </c>
      <c r="L223" s="17" t="s">
        <v>847</v>
      </c>
      <c r="M223" s="17" t="s">
        <v>847</v>
      </c>
      <c r="N223" s="17" t="s">
        <v>847</v>
      </c>
      <c r="O223" s="17" t="s">
        <v>849</v>
      </c>
      <c r="P223" s="17" t="s">
        <v>848</v>
      </c>
      <c r="Q223" s="17" t="s">
        <v>849</v>
      </c>
      <c r="R223" s="17" t="s">
        <v>849</v>
      </c>
      <c r="S223" s="17" t="s">
        <v>848</v>
      </c>
      <c r="T223" s="17" t="s">
        <v>848</v>
      </c>
      <c r="U223" s="17" t="s">
        <v>849</v>
      </c>
      <c r="V223" s="17" t="s">
        <v>848</v>
      </c>
      <c r="W223" s="17">
        <f t="shared" si="12"/>
        <v>20</v>
      </c>
      <c r="X223" s="17" t="str">
        <f t="shared" si="13"/>
        <v>Crítico</v>
      </c>
      <c r="Y223" s="17" t="s">
        <v>851</v>
      </c>
      <c r="Z223" s="17" t="s">
        <v>2472</v>
      </c>
      <c r="AA223" s="17" t="s">
        <v>2486</v>
      </c>
      <c r="AB223" s="17"/>
      <c r="AC223" s="17"/>
      <c r="AD223" s="17"/>
      <c r="AE223" s="17"/>
    </row>
    <row r="224" spans="1:31" ht="35.25" customHeight="1">
      <c r="A224" s="21" t="s">
        <v>2490</v>
      </c>
      <c r="B224" s="53" t="s">
        <v>1184</v>
      </c>
      <c r="C224" s="17" t="s">
        <v>1185</v>
      </c>
      <c r="D224" s="17" t="s">
        <v>1186</v>
      </c>
      <c r="E224" s="17" t="str" cm="1">
        <f t="array" ref="E224">IF($F224="Information Disclosure",Formatação!H$5,IF($F224="Repudiation",Formatação!H$4,IF($F224="Spoofing",Formatação!H$2,IF($F224="Tampering",Formatação!H$3, IF($F224="Denial of Service",Formatação!H$6,IF($F224="Elevation of Privilege",Formatação!H$7,IF($F224="Lateral Movement",Formatação!H$8,Errado)))))))</f>
        <v>Integridade</v>
      </c>
      <c r="F224" s="17" t="s">
        <v>25</v>
      </c>
      <c r="G224" s="17" t="str" cm="1">
        <f t="array" ref="G224">IF($F224="Information Disclosure",Formatação!J$5,IF($F224="Repudiation",Formatação!J$4,IF($F224="Spoofing",Formatação!J$2,IF($F224="Tampering",Formatação!J$3, IF($F224="Denial of Service",Formatação!J$6,IF($F224="Elevation of Privilege",Formatação!J$7,IF($F224="Lateral Movement",Formatação!J$8,Errado)))))))</f>
        <v>Danos a imagem</v>
      </c>
      <c r="H224" s="17" t="s">
        <v>375</v>
      </c>
      <c r="I224" s="17" t="s">
        <v>409</v>
      </c>
      <c r="J224" s="17" t="s">
        <v>423</v>
      </c>
      <c r="K224" s="17" t="s">
        <v>847</v>
      </c>
      <c r="L224" s="17" t="s">
        <v>847</v>
      </c>
      <c r="M224" s="17" t="s">
        <v>847</v>
      </c>
      <c r="N224" s="17" t="s">
        <v>847</v>
      </c>
      <c r="O224" s="17" t="s">
        <v>1614</v>
      </c>
      <c r="P224" s="17" t="s">
        <v>848</v>
      </c>
      <c r="Q224" s="17" t="s">
        <v>849</v>
      </c>
      <c r="R224" s="17" t="s">
        <v>849</v>
      </c>
      <c r="S224" s="17" t="s">
        <v>849</v>
      </c>
      <c r="T224" s="17" t="s">
        <v>849</v>
      </c>
      <c r="U224" s="17" t="s">
        <v>849</v>
      </c>
      <c r="V224" s="17" t="s">
        <v>1614</v>
      </c>
      <c r="W224" s="17">
        <f t="shared" si="12"/>
        <v>13</v>
      </c>
      <c r="X224" s="17" t="str">
        <f t="shared" si="13"/>
        <v>Moderado</v>
      </c>
      <c r="Y224" s="17" t="s">
        <v>851</v>
      </c>
      <c r="Z224" s="17" t="s">
        <v>2472</v>
      </c>
      <c r="AA224" s="17" t="s">
        <v>2491</v>
      </c>
      <c r="AB224" s="17" t="s">
        <v>854</v>
      </c>
      <c r="AC224" s="17"/>
      <c r="AD224" s="17"/>
      <c r="AE224" s="17"/>
    </row>
    <row r="225" spans="1:31" ht="35.25" customHeight="1">
      <c r="A225" s="21" t="s">
        <v>2492</v>
      </c>
      <c r="B225" s="53" t="s">
        <v>1188</v>
      </c>
      <c r="C225" s="17" t="s">
        <v>1189</v>
      </c>
      <c r="D225" s="17" t="s">
        <v>1186</v>
      </c>
      <c r="E225" s="17" t="str" cm="1">
        <f t="array" ref="E225">IF($F225="Information Disclosure",Formatação!H$5,IF($F225="Repudiation",Formatação!H$4,IF($F225="Spoofing",Formatação!H$2,IF($F225="Tampering",Formatação!H$3, IF($F225="Denial of Service",Formatação!H$6,IF($F225="Elevation of Privilege",Formatação!H$7,IF($F225="Lateral Movement",Formatação!H$8,Errado)))))))</f>
        <v>Confidencialidade</v>
      </c>
      <c r="F225" s="17" t="s">
        <v>35</v>
      </c>
      <c r="G225" s="17" t="str" cm="1">
        <f t="array" ref="G225">IF($F225="Information Disclosure",Formatação!J$5,IF($F225="Repudiation",Formatação!J$4,IF($F225="Spoofing",Formatação!J$2,IF($F225="Tampering",Formatação!J$3, IF($F225="Denial of Service",Formatação!J$6,IF($F225="Elevation of Privilege",Formatação!J$7,IF($F225="Lateral Movement",Formatação!J$8,Errado)))))))</f>
        <v>Vazamento de dados</v>
      </c>
      <c r="H225" s="17" t="s">
        <v>375</v>
      </c>
      <c r="I225" s="17" t="s">
        <v>453</v>
      </c>
      <c r="J225" s="17" t="s">
        <v>357</v>
      </c>
      <c r="K225" s="17" t="s">
        <v>847</v>
      </c>
      <c r="L225" s="17" t="s">
        <v>847</v>
      </c>
      <c r="M225" s="17" t="s">
        <v>847</v>
      </c>
      <c r="N225" s="17" t="s">
        <v>847</v>
      </c>
      <c r="O225" s="17" t="s">
        <v>1614</v>
      </c>
      <c r="P225" s="17" t="s">
        <v>848</v>
      </c>
      <c r="Q225" s="17" t="s">
        <v>848</v>
      </c>
      <c r="R225" s="17" t="s">
        <v>849</v>
      </c>
      <c r="S225" s="17" t="s">
        <v>849</v>
      </c>
      <c r="T225" s="17" t="s">
        <v>849</v>
      </c>
      <c r="U225" s="17" t="s">
        <v>849</v>
      </c>
      <c r="V225" s="17" t="s">
        <v>1614</v>
      </c>
      <c r="W225" s="17">
        <f t="shared" si="12"/>
        <v>14</v>
      </c>
      <c r="X225" s="17" t="str">
        <f t="shared" si="13"/>
        <v>Moderado</v>
      </c>
      <c r="Y225" s="17" t="s">
        <v>851</v>
      </c>
      <c r="Z225" s="17" t="s">
        <v>2472</v>
      </c>
      <c r="AA225" s="17" t="s">
        <v>2491</v>
      </c>
      <c r="AB225" s="17" t="s">
        <v>854</v>
      </c>
      <c r="AC225" s="17"/>
      <c r="AD225" s="17"/>
      <c r="AE225" s="17"/>
    </row>
    <row r="226" spans="1:31" ht="35.25" customHeight="1">
      <c r="A226" s="21" t="s">
        <v>2493</v>
      </c>
      <c r="B226" s="53" t="s">
        <v>1191</v>
      </c>
      <c r="C226" s="17" t="s">
        <v>1192</v>
      </c>
      <c r="D226" s="17" t="s">
        <v>1186</v>
      </c>
      <c r="E226" s="17" t="str" cm="1">
        <f t="array" ref="E226">IF($F226="Information Disclosure",Formatação!H$5,IF($F226="Repudiation",Formatação!H$4,IF($F226="Spoofing",Formatação!H$2,IF($F226="Tampering",Formatação!H$3, IF($F226="Denial of Service",Formatação!H$6,IF($F226="Elevation of Privilege",Formatação!H$7,IF($F226="Lateral Movement",Formatação!H$8,Errado)))))))</f>
        <v>Integridade</v>
      </c>
      <c r="F226" s="17" t="s">
        <v>25</v>
      </c>
      <c r="G226" s="17" t="str" cm="1">
        <f t="array" ref="G226">IF($F226="Information Disclosure",Formatação!J$5,IF($F226="Repudiation",Formatação!J$4,IF($F226="Spoofing",Formatação!J$2,IF($F226="Tampering",Formatação!J$3, IF($F226="Denial of Service",Formatação!J$6,IF($F226="Elevation of Privilege",Formatação!J$7,IF($F226="Lateral Movement",Formatação!J$8,Errado)))))))</f>
        <v>Danos a imagem</v>
      </c>
      <c r="H226" s="17" t="s">
        <v>375</v>
      </c>
      <c r="I226" s="17" t="s">
        <v>409</v>
      </c>
      <c r="J226" s="17" t="s">
        <v>1193</v>
      </c>
      <c r="K226" s="17" t="s">
        <v>847</v>
      </c>
      <c r="L226" s="17" t="s">
        <v>847</v>
      </c>
      <c r="M226" s="17" t="s">
        <v>847</v>
      </c>
      <c r="N226" s="17" t="s">
        <v>847</v>
      </c>
      <c r="O226" s="17" t="s">
        <v>849</v>
      </c>
      <c r="P226" s="17" t="s">
        <v>848</v>
      </c>
      <c r="Q226" s="17" t="s">
        <v>849</v>
      </c>
      <c r="R226" s="17" t="s">
        <v>849</v>
      </c>
      <c r="S226" s="17" t="s">
        <v>849</v>
      </c>
      <c r="T226" s="17" t="s">
        <v>849</v>
      </c>
      <c r="U226" s="17" t="s">
        <v>849</v>
      </c>
      <c r="V226" s="17" t="s">
        <v>1614</v>
      </c>
      <c r="W226" s="17">
        <f t="shared" si="12"/>
        <v>15</v>
      </c>
      <c r="X226" s="17" t="str">
        <f t="shared" si="13"/>
        <v>Alto</v>
      </c>
      <c r="Y226" s="17" t="s">
        <v>851</v>
      </c>
      <c r="Z226" s="17" t="s">
        <v>2472</v>
      </c>
      <c r="AA226" s="17" t="s">
        <v>2491</v>
      </c>
      <c r="AB226" s="17" t="s">
        <v>854</v>
      </c>
      <c r="AC226" s="17"/>
      <c r="AD226" s="17"/>
      <c r="AE226" s="17"/>
    </row>
    <row r="227" spans="1:31" ht="35.25" customHeight="1">
      <c r="A227" s="21" t="s">
        <v>2494</v>
      </c>
      <c r="B227" s="53" t="s">
        <v>1195</v>
      </c>
      <c r="C227" s="17" t="s">
        <v>1196</v>
      </c>
      <c r="D227" s="17" t="s">
        <v>1186</v>
      </c>
      <c r="E227" s="17" t="str" cm="1">
        <f t="array" ref="E227">IF($F227="Information Disclosure",Formatação!H$5,IF($F227="Repudiation",Formatação!H$4,IF($F227="Spoofing",Formatação!H$2,IF($F227="Tampering",Formatação!H$3, IF($F227="Denial of Service",Formatação!H$6,IF($F227="Elevation of Privilege",Formatação!H$7,IF($F227="Lateral Movement",Formatação!H$8,Errado)))))))</f>
        <v>Autorização</v>
      </c>
      <c r="F227" s="17" t="s">
        <v>22</v>
      </c>
      <c r="G227" s="17" t="str" cm="1">
        <f t="array" ref="G227">IF($F227="Information Disclosure",Formatação!J$5,IF($F227="Repudiation",Formatação!J$4,IF($F227="Spoofing",Formatação!J$2,IF($F227="Tampering",Formatação!J$3, IF($F227="Denial of Service",Formatação!J$6,IF($F227="Elevation of Privilege",Formatação!J$7,IF($F227="Lateral Movement",Formatação!J$8,Errado)))))))</f>
        <v>Danos financeiros/Vazamento de dados</v>
      </c>
      <c r="H227" s="17" t="s">
        <v>375</v>
      </c>
      <c r="I227" s="17" t="s">
        <v>951</v>
      </c>
      <c r="J227" s="17" t="s">
        <v>413</v>
      </c>
      <c r="K227" s="17" t="s">
        <v>847</v>
      </c>
      <c r="L227" s="17" t="s">
        <v>847</v>
      </c>
      <c r="M227" s="17" t="s">
        <v>847</v>
      </c>
      <c r="N227" s="17" t="s">
        <v>847</v>
      </c>
      <c r="O227" s="17" t="s">
        <v>1614</v>
      </c>
      <c r="P227" s="17" t="s">
        <v>848</v>
      </c>
      <c r="Q227" s="17" t="s">
        <v>848</v>
      </c>
      <c r="R227" s="17" t="s">
        <v>848</v>
      </c>
      <c r="S227" s="17" t="s">
        <v>848</v>
      </c>
      <c r="T227" s="17" t="s">
        <v>848</v>
      </c>
      <c r="U227" s="17" t="s">
        <v>848</v>
      </c>
      <c r="V227" s="17" t="s">
        <v>850</v>
      </c>
      <c r="W227" s="17">
        <f t="shared" si="12"/>
        <v>20</v>
      </c>
      <c r="X227" s="17" t="str">
        <f t="shared" si="13"/>
        <v>Crítico</v>
      </c>
      <c r="Y227" s="17" t="s">
        <v>851</v>
      </c>
      <c r="Z227" s="17" t="s">
        <v>2472</v>
      </c>
      <c r="AA227" s="17" t="s">
        <v>2491</v>
      </c>
      <c r="AB227" s="17" t="s">
        <v>854</v>
      </c>
      <c r="AC227" s="17"/>
      <c r="AD227" s="17"/>
      <c r="AE227" s="17"/>
    </row>
    <row r="228" spans="1:31" ht="35.25" customHeight="1">
      <c r="A228" s="21" t="s">
        <v>2495</v>
      </c>
      <c r="B228" s="53" t="s">
        <v>1198</v>
      </c>
      <c r="C228" s="17" t="s">
        <v>1199</v>
      </c>
      <c r="D228" s="17" t="s">
        <v>1186</v>
      </c>
      <c r="E228" s="17" t="str" cm="1">
        <f t="array" ref="E228">IF($F228="Information Disclosure",Formatação!H$5,IF($F228="Repudiation",Formatação!H$4,IF($F228="Spoofing",Formatação!H$2,IF($F228="Tampering",Formatação!H$3, IF($F228="Denial of Service",Formatação!H$6,IF($F228="Elevation of Privilege",Formatação!H$7,IF($F228="Lateral Movement",Formatação!H$8,Errado)))))))</f>
        <v>Autenticação</v>
      </c>
      <c r="F228" s="17" t="s">
        <v>102</v>
      </c>
      <c r="G228" s="17" t="str" cm="1">
        <f t="array" ref="G228">IF($F228="Information Disclosure",Formatação!J$5,IF($F228="Repudiation",Formatação!J$4,IF($F228="Spoofing",Formatação!J$2,IF($F228="Tampering",Formatação!J$3, IF($F228="Denial of Service",Formatação!J$6,IF($F228="Elevation of Privilege",Formatação!J$7,IF($F228="Lateral Movement",Formatação!J$8,Errado)))))))</f>
        <v>Fraudes/Vazamento de dados</v>
      </c>
      <c r="H228" s="17" t="s">
        <v>375</v>
      </c>
      <c r="I228" s="17" t="s">
        <v>231</v>
      </c>
      <c r="J228" s="17" t="s">
        <v>357</v>
      </c>
      <c r="K228" s="17" t="s">
        <v>847</v>
      </c>
      <c r="L228" s="17" t="s">
        <v>847</v>
      </c>
      <c r="M228" s="17" t="s">
        <v>847</v>
      </c>
      <c r="N228" s="17" t="s">
        <v>847</v>
      </c>
      <c r="O228" s="17" t="s">
        <v>849</v>
      </c>
      <c r="P228" s="17" t="s">
        <v>848</v>
      </c>
      <c r="Q228" s="17" t="s">
        <v>848</v>
      </c>
      <c r="R228" s="17" t="s">
        <v>849</v>
      </c>
      <c r="S228" s="17" t="s">
        <v>849</v>
      </c>
      <c r="T228" s="17" t="s">
        <v>849</v>
      </c>
      <c r="U228" s="17" t="s">
        <v>849</v>
      </c>
      <c r="V228" s="17" t="s">
        <v>850</v>
      </c>
      <c r="W228" s="17">
        <f t="shared" si="12"/>
        <v>18</v>
      </c>
      <c r="X228" s="17" t="str">
        <f t="shared" si="13"/>
        <v>Alto</v>
      </c>
      <c r="Y228" s="17" t="s">
        <v>851</v>
      </c>
      <c r="Z228" s="17" t="s">
        <v>2472</v>
      </c>
      <c r="AA228" s="17" t="s">
        <v>2491</v>
      </c>
      <c r="AB228" s="17" t="s">
        <v>854</v>
      </c>
      <c r="AC228" s="17"/>
      <c r="AD228" s="17"/>
      <c r="AE228" s="17"/>
    </row>
    <row r="229" spans="1:31" ht="35.25" customHeight="1">
      <c r="A229" s="21" t="s">
        <v>2496</v>
      </c>
      <c r="B229" s="53" t="s">
        <v>2497</v>
      </c>
      <c r="C229" s="17" t="s">
        <v>1202</v>
      </c>
      <c r="D229" s="17" t="s">
        <v>1186</v>
      </c>
      <c r="E229" s="17" t="str" cm="1">
        <f t="array" ref="E229">IF($F229="Information Disclosure",Formatação!H$5,IF($F229="Repudiation",Formatação!H$4,IF($F229="Spoofing",Formatação!H$2,IF($F229="Tampering",Formatação!H$3, IF($F229="Denial of Service",Formatação!H$6,IF($F229="Elevation of Privilege",Formatação!H$7,IF($F229="Lateral Movement",Formatação!H$8,Errado)))))))</f>
        <v>Autenticação</v>
      </c>
      <c r="F229" s="17" t="s">
        <v>102</v>
      </c>
      <c r="G229" s="17" t="str" cm="1">
        <f t="array" ref="G229">IF($F229="Information Disclosure",Formatação!J$5,IF($F229="Repudiation",Formatação!J$4,IF($F229="Spoofing",Formatação!J$2,IF($F229="Tampering",Formatação!J$3, IF($F229="Denial of Service",Formatação!J$6,IF($F229="Elevation of Privilege",Formatação!J$7,IF($F229="Lateral Movement",Formatação!J$8,Errado)))))))</f>
        <v>Fraudes/Vazamento de dados</v>
      </c>
      <c r="H229" s="17" t="s">
        <v>375</v>
      </c>
      <c r="I229" s="17" t="s">
        <v>960</v>
      </c>
      <c r="J229" s="17" t="s">
        <v>1203</v>
      </c>
      <c r="K229" s="17" t="s">
        <v>847</v>
      </c>
      <c r="L229" s="17" t="s">
        <v>847</v>
      </c>
      <c r="M229" s="17" t="s">
        <v>847</v>
      </c>
      <c r="N229" s="17" t="s">
        <v>847</v>
      </c>
      <c r="O229" s="17" t="s">
        <v>849</v>
      </c>
      <c r="P229" s="17" t="s">
        <v>848</v>
      </c>
      <c r="Q229" s="17" t="s">
        <v>848</v>
      </c>
      <c r="R229" s="17" t="s">
        <v>849</v>
      </c>
      <c r="S229" s="17" t="s">
        <v>849</v>
      </c>
      <c r="T229" s="17" t="s">
        <v>849</v>
      </c>
      <c r="U229" s="17" t="s">
        <v>848</v>
      </c>
      <c r="V229" s="17" t="s">
        <v>850</v>
      </c>
      <c r="W229" s="17">
        <f t="shared" si="12"/>
        <v>19</v>
      </c>
      <c r="X229" s="17" t="str">
        <f t="shared" si="13"/>
        <v>Crítico</v>
      </c>
      <c r="Y229" s="17" t="s">
        <v>851</v>
      </c>
      <c r="Z229" s="17" t="s">
        <v>2472</v>
      </c>
      <c r="AA229" s="17" t="s">
        <v>2491</v>
      </c>
      <c r="AB229" s="17" t="s">
        <v>1204</v>
      </c>
      <c r="AC229" s="17"/>
      <c r="AD229" s="17"/>
      <c r="AE229" s="17"/>
    </row>
    <row r="230" spans="1:31" ht="35.25" customHeight="1">
      <c r="A230" s="21" t="s">
        <v>2498</v>
      </c>
      <c r="B230" s="53" t="s">
        <v>1206</v>
      </c>
      <c r="C230" s="17" t="s">
        <v>1207</v>
      </c>
      <c r="D230" s="17" t="s">
        <v>1186</v>
      </c>
      <c r="E230" s="17" t="str" cm="1">
        <f t="array" ref="E230">IF($F230="Information Disclosure",Formatação!H$5,IF($F230="Repudiation",Formatação!H$4,IF($F230="Spoofing",Formatação!H$2,IF($F230="Tampering",Formatação!H$3, IF($F230="Denial of Service",Formatação!H$6,IF($F230="Elevation of Privilege",Formatação!H$7,IF($F230="Lateral Movement",Formatação!H$8,Errado)))))))</f>
        <v>Autenticação</v>
      </c>
      <c r="F230" s="17" t="s">
        <v>102</v>
      </c>
      <c r="G230" s="17" t="str" cm="1">
        <f t="array" ref="G230">IF($F230="Information Disclosure",Formatação!J$5,IF($F230="Repudiation",Formatação!J$4,IF($F230="Spoofing",Formatação!J$2,IF($F230="Tampering",Formatação!J$3, IF($F230="Denial of Service",Formatação!J$6,IF($F230="Elevation of Privilege",Formatação!J$7,IF($F230="Lateral Movement",Formatação!J$8,Errado)))))))</f>
        <v>Fraudes/Vazamento de dados</v>
      </c>
      <c r="H230" s="17" t="s">
        <v>23</v>
      </c>
      <c r="I230" s="17" t="s">
        <v>453</v>
      </c>
      <c r="J230" s="17" t="s">
        <v>357</v>
      </c>
      <c r="K230" s="17" t="s">
        <v>847</v>
      </c>
      <c r="L230" s="17" t="s">
        <v>847</v>
      </c>
      <c r="M230" s="17" t="s">
        <v>847</v>
      </c>
      <c r="N230" s="17" t="s">
        <v>847</v>
      </c>
      <c r="O230" s="17" t="s">
        <v>849</v>
      </c>
      <c r="P230" s="17" t="s">
        <v>848</v>
      </c>
      <c r="Q230" s="17" t="s">
        <v>848</v>
      </c>
      <c r="R230" s="17" t="s">
        <v>849</v>
      </c>
      <c r="S230" s="17" t="s">
        <v>849</v>
      </c>
      <c r="T230" s="17" t="s">
        <v>849</v>
      </c>
      <c r="U230" s="17" t="s">
        <v>849</v>
      </c>
      <c r="V230" s="17" t="s">
        <v>1614</v>
      </c>
      <c r="W230" s="17">
        <f t="shared" si="12"/>
        <v>16</v>
      </c>
      <c r="X230" s="17" t="str">
        <f t="shared" si="13"/>
        <v>Alto</v>
      </c>
      <c r="Y230" s="17" t="s">
        <v>851</v>
      </c>
      <c r="Z230" s="17" t="s">
        <v>2472</v>
      </c>
      <c r="AA230" s="17" t="s">
        <v>2499</v>
      </c>
      <c r="AB230" s="17" t="s">
        <v>854</v>
      </c>
      <c r="AC230" s="17"/>
      <c r="AD230" s="17"/>
      <c r="AE230" s="17"/>
    </row>
    <row r="231" spans="1:31" ht="35.25" customHeight="1">
      <c r="A231" s="21" t="s">
        <v>2500</v>
      </c>
      <c r="B231" s="53" t="s">
        <v>1209</v>
      </c>
      <c r="C231" s="17" t="s">
        <v>765</v>
      </c>
      <c r="D231" s="17" t="s">
        <v>1210</v>
      </c>
      <c r="E231" s="17" t="str" cm="1">
        <f t="array" ref="E231">IF($F231="Information Disclosure",Formatação!H$5,IF($F231="Repudiation",Formatação!H$4,IF($F231="Spoofing",Formatação!H$2,IF($F231="Tampering",Formatação!H$3, IF($F231="Denial of Service",Formatação!H$6,IF($F231="Elevation of Privilege",Formatação!H$7,IF($F231="Lateral Movement",Formatação!H$8,Errado)))))))</f>
        <v>Integridade</v>
      </c>
      <c r="F231" s="17" t="s">
        <v>25</v>
      </c>
      <c r="G231" s="17" t="str" cm="1">
        <f t="array" ref="G231">IF($F231="Information Disclosure",Formatação!J$5,IF($F231="Repudiation",Formatação!J$4,IF($F231="Spoofing",Formatação!J$2,IF($F231="Tampering",Formatação!J$3, IF($F231="Denial of Service",Formatação!J$6,IF($F231="Elevation of Privilege",Formatação!J$7,IF($F231="Lateral Movement",Formatação!J$8,Errado)))))))</f>
        <v>Danos a imagem</v>
      </c>
      <c r="H231" s="17" t="s">
        <v>259</v>
      </c>
      <c r="I231" s="17" t="s">
        <v>231</v>
      </c>
      <c r="J231" s="17" t="s">
        <v>410</v>
      </c>
      <c r="K231" s="17" t="s">
        <v>847</v>
      </c>
      <c r="L231" s="17" t="s">
        <v>847</v>
      </c>
      <c r="M231" s="17" t="s">
        <v>847</v>
      </c>
      <c r="N231" s="17" t="s">
        <v>1293</v>
      </c>
      <c r="O231" s="17" t="s">
        <v>849</v>
      </c>
      <c r="P231" s="17" t="s">
        <v>849</v>
      </c>
      <c r="Q231" s="17" t="s">
        <v>848</v>
      </c>
      <c r="R231" s="17" t="s">
        <v>849</v>
      </c>
      <c r="S231" s="17" t="s">
        <v>849</v>
      </c>
      <c r="T231" s="17" t="s">
        <v>849</v>
      </c>
      <c r="U231" s="17" t="s">
        <v>849</v>
      </c>
      <c r="V231" s="17" t="s">
        <v>848</v>
      </c>
      <c r="W231" s="17">
        <f t="shared" si="12"/>
        <v>18</v>
      </c>
      <c r="X231" s="17" t="str">
        <f t="shared" si="13"/>
        <v>Alto</v>
      </c>
      <c r="Y231" s="17" t="s">
        <v>851</v>
      </c>
      <c r="Z231" s="17" t="e" vm="1">
        <f>VLOOKUP(Tabela7[[#This Row],[Controle]],[1]!Tabela135[#Data],33,FALSE)</f>
        <v>#REF!</v>
      </c>
      <c r="AA231" s="17" t="e" vm="1">
        <f>VLOOKUP(Tabela7[[#This Row],[Controle]],[1]!Tabela135[#Data],34,FALSE)</f>
        <v>#REF!</v>
      </c>
      <c r="AB231" s="17" t="s">
        <v>1204</v>
      </c>
      <c r="AC231" s="17"/>
      <c r="AD231" s="17"/>
      <c r="AE231" s="17"/>
    </row>
    <row r="232" spans="1:31" ht="35.25" customHeight="1">
      <c r="A232" s="21" t="s">
        <v>2501</v>
      </c>
      <c r="B232" s="53" t="s">
        <v>329</v>
      </c>
      <c r="C232" s="17" t="s">
        <v>767</v>
      </c>
      <c r="D232" s="17" t="s">
        <v>1210</v>
      </c>
      <c r="E232" s="17" t="str" cm="1">
        <f t="array" ref="E232">IF($F232="Information Disclosure",Formatação!H$5,IF($F232="Repudiation",Formatação!H$4,IF($F232="Spoofing",Formatação!H$2,IF($F232="Tampering",Formatação!H$3, IF($F232="Denial of Service",Formatação!H$6,IF($F232="Elevation of Privilege",Formatação!H$7,IF($F232="Lateral Movement",Formatação!H$8,Errado)))))))</f>
        <v>Confidencialidade</v>
      </c>
      <c r="F232" s="17" t="s">
        <v>35</v>
      </c>
      <c r="G232" s="17" t="str" cm="1">
        <f t="array" ref="G232">IF($F232="Information Disclosure",Formatação!J$5,IF($F232="Repudiation",Formatação!J$4,IF($F232="Spoofing",Formatação!J$2,IF($F232="Tampering",Formatação!J$3, IF($F232="Denial of Service",Formatação!J$6,IF($F232="Elevation of Privilege",Formatação!J$7,IF($F232="Lateral Movement",Formatação!J$8,Errado)))))))</f>
        <v>Vazamento de dados</v>
      </c>
      <c r="H232" s="17" t="s">
        <v>23</v>
      </c>
      <c r="I232" s="17" t="s">
        <v>425</v>
      </c>
      <c r="J232" s="17" t="s">
        <v>1178</v>
      </c>
      <c r="K232" s="17" t="s">
        <v>847</v>
      </c>
      <c r="L232" s="17" t="s">
        <v>847</v>
      </c>
      <c r="M232" s="17" t="s">
        <v>847</v>
      </c>
      <c r="N232" s="17" t="s">
        <v>1293</v>
      </c>
      <c r="O232" s="17" t="s">
        <v>849</v>
      </c>
      <c r="P232" s="17" t="s">
        <v>849</v>
      </c>
      <c r="Q232" s="17" t="s">
        <v>848</v>
      </c>
      <c r="R232" s="17" t="s">
        <v>849</v>
      </c>
      <c r="S232" s="17" t="s">
        <v>849</v>
      </c>
      <c r="T232" s="17" t="s">
        <v>849</v>
      </c>
      <c r="U232" s="17" t="s">
        <v>849</v>
      </c>
      <c r="V232" s="17" t="s">
        <v>850</v>
      </c>
      <c r="W232" s="17">
        <f t="shared" si="12"/>
        <v>17</v>
      </c>
      <c r="X232" s="17" t="str">
        <f t="shared" si="13"/>
        <v>Alto</v>
      </c>
      <c r="Y232" s="17" t="s">
        <v>851</v>
      </c>
      <c r="Z232" s="17" t="s">
        <v>2502</v>
      </c>
      <c r="AA232" s="17" t="s">
        <v>2503</v>
      </c>
      <c r="AB232" s="17" t="s">
        <v>854</v>
      </c>
      <c r="AC232" s="17"/>
      <c r="AD232" s="17"/>
      <c r="AE232" s="17"/>
    </row>
    <row r="233" spans="1:31" ht="35.25" customHeight="1">
      <c r="A233" s="21" t="s">
        <v>2504</v>
      </c>
      <c r="B233" s="28" t="s">
        <v>330</v>
      </c>
      <c r="C233" s="17" t="s">
        <v>769</v>
      </c>
      <c r="D233" s="17" t="s">
        <v>1210</v>
      </c>
      <c r="E233" s="26" t="str" cm="1">
        <f t="array" ref="E233">IF($F233="Information Disclosure",Formatação!H$5,IF($F233="Repudiation",Formatação!H$4,IF($F233="Spoofing",Formatação!H$2,IF($F233="Tampering",Formatação!H$3, IF($F233="Denial of Service",Formatação!H$6,IF($F233="Elevation of Privilege",Formatação!H$7,IF($F233="Lateral Movement",Formatação!H$8,Errado)))))))</f>
        <v>Confidencialidade</v>
      </c>
      <c r="F233" s="26" t="s">
        <v>35</v>
      </c>
      <c r="G233" s="26" t="str" cm="1">
        <f t="array" ref="G233">IF($F233="Information Disclosure",Formatação!J$5,IF($F233="Repudiation",Formatação!J$4,IF($F233="Spoofing",Formatação!J$2,IF($F233="Tampering",Formatação!J$3, IF($F233="Denial of Service",Formatação!J$6,IF($F233="Elevation of Privilege",Formatação!J$7,IF($F233="Lateral Movement",Formatação!J$8,Errado)))))))</f>
        <v>Vazamento de dados</v>
      </c>
      <c r="H233" s="26" t="s">
        <v>33</v>
      </c>
      <c r="I233" s="17" t="s">
        <v>425</v>
      </c>
      <c r="J233" s="17" t="s">
        <v>1178</v>
      </c>
      <c r="K233" s="17" t="s">
        <v>847</v>
      </c>
      <c r="L233" s="17" t="s">
        <v>847</v>
      </c>
      <c r="M233" s="17" t="s">
        <v>847</v>
      </c>
      <c r="N233" s="17" t="s">
        <v>1293</v>
      </c>
      <c r="O233" s="17" t="s">
        <v>849</v>
      </c>
      <c r="P233" s="17" t="s">
        <v>848</v>
      </c>
      <c r="Q233" s="17" t="s">
        <v>848</v>
      </c>
      <c r="R233" s="17" t="s">
        <v>849</v>
      </c>
      <c r="S233" s="17" t="s">
        <v>849</v>
      </c>
      <c r="T233" s="17" t="s">
        <v>849</v>
      </c>
      <c r="U233" s="17" t="s">
        <v>849</v>
      </c>
      <c r="V233" s="26" t="s">
        <v>850</v>
      </c>
      <c r="W233" s="17">
        <f t="shared" si="12"/>
        <v>18</v>
      </c>
      <c r="X233" s="17" t="str">
        <f t="shared" si="13"/>
        <v>Alto</v>
      </c>
      <c r="Y233" s="26" t="s">
        <v>851</v>
      </c>
      <c r="Z233" s="17" t="e" vm="1">
        <f>VLOOKUP(Tabela7[[#This Row],[Controle]],[1]!Tabela135[#Data],33,FALSE)</f>
        <v>#REF!</v>
      </c>
      <c r="AA233" s="17" t="e" vm="1">
        <f>VLOOKUP(Tabela7[[#This Row],[Controle]],[1]!Tabela135[#Data],34,FALSE)</f>
        <v>#REF!</v>
      </c>
      <c r="AB233" s="26" t="s">
        <v>952</v>
      </c>
      <c r="AC233" s="26"/>
      <c r="AD233" s="26"/>
      <c r="AE233" s="17"/>
    </row>
    <row r="234" spans="1:31" ht="35.25" customHeight="1">
      <c r="A234" s="21" t="s">
        <v>2505</v>
      </c>
      <c r="B234" s="28" t="s">
        <v>1214</v>
      </c>
      <c r="C234" s="17" t="s">
        <v>771</v>
      </c>
      <c r="D234" s="17" t="s">
        <v>1210</v>
      </c>
      <c r="E234" s="26" t="str" cm="1">
        <f t="array" ref="E234">IF($F234="Information Disclosure",Formatação!H$5,IF($F234="Repudiation",Formatação!H$4,IF($F234="Spoofing",Formatação!H$2,IF($F234="Tampering",Formatação!H$3, IF($F234="Denial of Service",Formatação!H$6,IF($F234="Elevation of Privilege",Formatação!H$7,IF($F234="Lateral Movement",Formatação!H$8,Errado)))))))</f>
        <v>Não repúdio</v>
      </c>
      <c r="F234" s="26" t="s">
        <v>32</v>
      </c>
      <c r="G234" s="26" t="str" cm="1">
        <f t="array" ref="G234">IF($F234="Information Disclosure",Formatação!J$5,IF($F234="Repudiation",Formatação!J$4,IF($F234="Spoofing",Formatação!J$2,IF($F234="Tampering",Formatação!J$3, IF($F234="Denial of Service",Formatação!J$6,IF($F234="Elevation of Privilege",Formatação!J$7,IF($F234="Lateral Movement",Formatação!J$8,Errado)))))))</f>
        <v>Regulatório/Compliance</v>
      </c>
      <c r="H234" s="26" t="s">
        <v>33</v>
      </c>
      <c r="I234" s="17" t="s">
        <v>453</v>
      </c>
      <c r="J234" s="17" t="s">
        <v>944</v>
      </c>
      <c r="K234" s="17" t="s">
        <v>847</v>
      </c>
      <c r="L234" s="17" t="s">
        <v>847</v>
      </c>
      <c r="M234" s="17" t="s">
        <v>847</v>
      </c>
      <c r="N234" s="17" t="s">
        <v>1293</v>
      </c>
      <c r="O234" s="17" t="s">
        <v>849</v>
      </c>
      <c r="P234" s="17" t="s">
        <v>849</v>
      </c>
      <c r="Q234" s="17" t="s">
        <v>849</v>
      </c>
      <c r="R234" s="17" t="s">
        <v>849</v>
      </c>
      <c r="S234" s="17" t="s">
        <v>849</v>
      </c>
      <c r="T234" s="17" t="s">
        <v>849</v>
      </c>
      <c r="U234" s="17" t="s">
        <v>849</v>
      </c>
      <c r="V234" s="26" t="s">
        <v>850</v>
      </c>
      <c r="W234" s="17">
        <f t="shared" si="12"/>
        <v>16</v>
      </c>
      <c r="X234" s="17" t="str">
        <f t="shared" si="13"/>
        <v>Alto</v>
      </c>
      <c r="Y234" s="26" t="s">
        <v>851</v>
      </c>
      <c r="Z234" s="17" t="s">
        <v>2289</v>
      </c>
      <c r="AA234" s="17" t="s">
        <v>2506</v>
      </c>
      <c r="AB234" s="26" t="s">
        <v>966</v>
      </c>
      <c r="AC234" s="26"/>
      <c r="AD234" s="26"/>
      <c r="AE234" s="17"/>
    </row>
    <row r="235" spans="1:31" ht="35.25" customHeight="1">
      <c r="A235" s="21" t="s">
        <v>2507</v>
      </c>
      <c r="B235" s="53" t="s">
        <v>332</v>
      </c>
      <c r="C235" s="17" t="s">
        <v>773</v>
      </c>
      <c r="D235" s="17" t="s">
        <v>1210</v>
      </c>
      <c r="E235" s="17" t="str" cm="1">
        <f t="array" ref="E235">IF($F235="Information Disclosure",Formatação!H$5,IF($F235="Repudiation",Formatação!H$4,IF($F235="Spoofing",Formatação!H$2,IF($F235="Tampering",Formatação!H$3, IF($F235="Denial of Service",Formatação!H$6,IF($F235="Elevation of Privilege",Formatação!H$7,IF($F235="Lateral Movement",Formatação!H$8,Errado)))))))</f>
        <v>Integridade</v>
      </c>
      <c r="F235" s="17" t="s">
        <v>25</v>
      </c>
      <c r="G235" s="17" t="str" cm="1">
        <f t="array" ref="G235">IF($F235="Information Disclosure",Formatação!J$5,IF($F235="Repudiation",Formatação!J$4,IF($F235="Spoofing",Formatação!J$2,IF($F235="Tampering",Formatação!J$3, IF($F235="Denial of Service",Formatação!J$6,IF($F235="Elevation of Privilege",Formatação!J$7,IF($F235="Lateral Movement",Formatação!J$8,Errado)))))))</f>
        <v>Danos a imagem</v>
      </c>
      <c r="H235" s="17" t="s">
        <v>23</v>
      </c>
      <c r="I235" s="17" t="s">
        <v>231</v>
      </c>
      <c r="J235" s="17" t="s">
        <v>410</v>
      </c>
      <c r="K235" s="17" t="s">
        <v>847</v>
      </c>
      <c r="L235" s="17" t="s">
        <v>847</v>
      </c>
      <c r="M235" s="17" t="s">
        <v>847</v>
      </c>
      <c r="N235" s="17" t="s">
        <v>1293</v>
      </c>
      <c r="O235" s="17" t="s">
        <v>1614</v>
      </c>
      <c r="P235" s="17" t="s">
        <v>848</v>
      </c>
      <c r="Q235" s="17" t="s">
        <v>848</v>
      </c>
      <c r="R235" s="17" t="s">
        <v>849</v>
      </c>
      <c r="S235" s="17" t="s">
        <v>849</v>
      </c>
      <c r="T235" s="17" t="s">
        <v>849</v>
      </c>
      <c r="U235" s="17" t="s">
        <v>849</v>
      </c>
      <c r="V235" s="17" t="s">
        <v>850</v>
      </c>
      <c r="W235" s="17">
        <f t="shared" si="12"/>
        <v>16</v>
      </c>
      <c r="X235" s="17" t="str">
        <f t="shared" si="13"/>
        <v>Alto</v>
      </c>
      <c r="Y235" s="17" t="s">
        <v>851</v>
      </c>
      <c r="Z235" s="17" t="s">
        <v>2508</v>
      </c>
      <c r="AA235" s="17" t="s">
        <v>2509</v>
      </c>
      <c r="AB235" s="17" t="s">
        <v>854</v>
      </c>
      <c r="AC235" s="17"/>
      <c r="AD235" s="17"/>
      <c r="AE235" s="17"/>
    </row>
    <row r="236" spans="1:31" ht="35.25" customHeight="1">
      <c r="A236" s="21" t="s">
        <v>2510</v>
      </c>
      <c r="B236" s="28" t="s">
        <v>333</v>
      </c>
      <c r="C236" s="17" t="s">
        <v>775</v>
      </c>
      <c r="D236" s="17" t="s">
        <v>1210</v>
      </c>
      <c r="E236" s="26" t="str" cm="1">
        <f t="array" ref="E236">IF($F236="Information Disclosure",Formatação!H$5,IF($F236="Repudiation",Formatação!H$4,IF($F236="Spoofing",Formatação!H$2,IF($F236="Tampering",Formatação!H$3, IF($F236="Denial of Service",Formatação!H$6,IF($F236="Elevation of Privilege",Formatação!H$7,IF($F236="Lateral Movement",Formatação!H$8,Errado)))))))</f>
        <v>Disponibilidade</v>
      </c>
      <c r="F236" s="26" t="s">
        <v>239</v>
      </c>
      <c r="G236" s="26" t="str" cm="1">
        <f t="array" ref="G236">IF($F236="Information Disclosure",Formatação!J$5,IF($F236="Repudiation",Formatação!J$4,IF($F236="Spoofing",Formatação!J$2,IF($F236="Tampering",Formatação!J$3, IF($F236="Denial of Service",Formatação!J$6,IF($F236="Elevation of Privilege",Formatação!J$7,IF($F236="Lateral Movement",Formatação!J$8,Errado)))))))</f>
        <v>Indisponibilidade</v>
      </c>
      <c r="H236" s="17" t="s">
        <v>26</v>
      </c>
      <c r="I236" s="26" t="s">
        <v>231</v>
      </c>
      <c r="J236" s="17" t="s">
        <v>944</v>
      </c>
      <c r="K236" s="17" t="s">
        <v>847</v>
      </c>
      <c r="L236" s="17" t="s">
        <v>847</v>
      </c>
      <c r="M236" s="17" t="s">
        <v>847</v>
      </c>
      <c r="N236" s="17" t="s">
        <v>1293</v>
      </c>
      <c r="O236" s="17" t="s">
        <v>849</v>
      </c>
      <c r="P236" s="17" t="s">
        <v>849</v>
      </c>
      <c r="Q236" s="17" t="s">
        <v>849</v>
      </c>
      <c r="R236" s="17" t="s">
        <v>849</v>
      </c>
      <c r="S236" s="17" t="s">
        <v>849</v>
      </c>
      <c r="T236" s="17" t="s">
        <v>849</v>
      </c>
      <c r="U236" s="17" t="s">
        <v>849</v>
      </c>
      <c r="V236" s="26" t="s">
        <v>848</v>
      </c>
      <c r="W236" s="17">
        <f t="shared" si="12"/>
        <v>17</v>
      </c>
      <c r="X236" s="17" t="str">
        <f t="shared" si="13"/>
        <v>Alto</v>
      </c>
      <c r="Y236" s="26" t="s">
        <v>2144</v>
      </c>
      <c r="Z236" s="17" t="e" vm="1">
        <f>VLOOKUP(Tabela7[[#This Row],[Controle]],[1]!Tabela135[#Data],33,FALSE)</f>
        <v>#REF!</v>
      </c>
      <c r="AA236" s="17" t="e" vm="1">
        <f>VLOOKUP(Tabela7[[#This Row],[Controle]],[1]!Tabela135[#Data],34,FALSE)</f>
        <v>#REF!</v>
      </c>
      <c r="AB236" s="26" t="s">
        <v>966</v>
      </c>
      <c r="AC236" s="26"/>
      <c r="AD236" s="26"/>
      <c r="AE236" s="17"/>
    </row>
    <row r="237" spans="1:31" ht="35.25" customHeight="1">
      <c r="A237" s="21" t="s">
        <v>2511</v>
      </c>
      <c r="B237" s="28" t="s">
        <v>776</v>
      </c>
      <c r="C237" s="17" t="s">
        <v>777</v>
      </c>
      <c r="D237" s="17" t="s">
        <v>1210</v>
      </c>
      <c r="E237" s="26" t="str" cm="1">
        <f t="array" ref="E237">IF($F237="Information Disclosure",Formatação!H$5,IF($F237="Repudiation",Formatação!H$4,IF($F237="Spoofing",Formatação!H$2,IF($F237="Tampering",Formatação!H$3, IF($F237="Denial of Service",Formatação!H$6,IF($F237="Elevation of Privilege",Formatação!H$7,IF($F237="Lateral Movement",Formatação!H$8,Errado)))))))</f>
        <v>Autenticação</v>
      </c>
      <c r="F237" s="26" t="s">
        <v>102</v>
      </c>
      <c r="G237" s="26" t="str" cm="1">
        <f t="array" ref="G237">IF($F237="Information Disclosure",Formatação!J$5,IF($F237="Repudiation",Formatação!J$4,IF($F237="Spoofing",Formatação!J$2,IF($F237="Tampering",Formatação!J$3, IF($F237="Denial of Service",Formatação!J$6,IF($F237="Elevation of Privilege",Formatação!J$7,IF($F237="Lateral Movement",Formatação!J$8,Errado)))))))</f>
        <v>Fraudes/Vazamento de dados</v>
      </c>
      <c r="H237" s="26" t="s">
        <v>29</v>
      </c>
      <c r="I237" s="26" t="s">
        <v>231</v>
      </c>
      <c r="J237" s="26" t="s">
        <v>1178</v>
      </c>
      <c r="K237" s="17" t="s">
        <v>847</v>
      </c>
      <c r="L237" s="17" t="s">
        <v>847</v>
      </c>
      <c r="M237" s="17" t="s">
        <v>847</v>
      </c>
      <c r="N237" s="17" t="s">
        <v>1293</v>
      </c>
      <c r="O237" s="17" t="s">
        <v>848</v>
      </c>
      <c r="P237" s="17" t="s">
        <v>848</v>
      </c>
      <c r="Q237" s="17" t="s">
        <v>848</v>
      </c>
      <c r="R237" s="17" t="s">
        <v>849</v>
      </c>
      <c r="S237" s="17" t="s">
        <v>849</v>
      </c>
      <c r="T237" s="17" t="s">
        <v>849</v>
      </c>
      <c r="U237" s="17" t="s">
        <v>849</v>
      </c>
      <c r="V237" s="26" t="s">
        <v>850</v>
      </c>
      <c r="W237" s="17">
        <f t="shared" si="12"/>
        <v>19</v>
      </c>
      <c r="X237" s="17" t="str">
        <f t="shared" si="13"/>
        <v>Crítico</v>
      </c>
      <c r="Y237" s="26" t="s">
        <v>851</v>
      </c>
      <c r="Z237" s="17" t="e" vm="1">
        <f>VLOOKUP(Tabela7[[#This Row],[Controle]],[1]!Tabela135[#Data],33,FALSE)</f>
        <v>#REF!</v>
      </c>
      <c r="AA237" s="17" t="e" vm="1">
        <f>VLOOKUP(Tabela7[[#This Row],[Controle]],[1]!Tabela135[#Data],34,FALSE)</f>
        <v>#REF!</v>
      </c>
      <c r="AB237" s="26" t="s">
        <v>854</v>
      </c>
      <c r="AC237" s="26"/>
      <c r="AD237" s="26"/>
      <c r="AE237" s="17"/>
    </row>
    <row r="238" spans="1:31" ht="35.25" customHeight="1">
      <c r="A238" s="21" t="s">
        <v>2512</v>
      </c>
      <c r="B238" s="53" t="s">
        <v>778</v>
      </c>
      <c r="C238" s="17" t="s">
        <v>779</v>
      </c>
      <c r="D238" s="17" t="s">
        <v>1210</v>
      </c>
      <c r="E238" s="17" t="str" cm="1">
        <f t="array" ref="E238">IF($F238="Information Disclosure",Formatação!H$5,IF($F238="Repudiation",Formatação!H$4,IF($F238="Spoofing",Formatação!H$2,IF($F238="Tampering",Formatação!H$3, IF($F238="Denial of Service",Formatação!H$6,IF($F238="Elevation of Privilege",Formatação!H$7,IF($F238="Lateral Movement",Formatação!H$8,Errado)))))))</f>
        <v>Autenticação</v>
      </c>
      <c r="F238" s="17" t="s">
        <v>102</v>
      </c>
      <c r="G238" s="17" t="str" cm="1">
        <f t="array" ref="G238">IF($F238="Information Disclosure",Formatação!J$5,IF($F238="Repudiation",Formatação!J$4,IF($F238="Spoofing",Formatação!J$2,IF($F238="Tampering",Formatação!J$3, IF($F238="Denial of Service",Formatação!J$6,IF($F238="Elevation of Privilege",Formatação!J$7,IF($F238="Lateral Movement",Formatação!J$8,Errado)))))))</f>
        <v>Fraudes/Vazamento de dados</v>
      </c>
      <c r="H238" s="26" t="s">
        <v>29</v>
      </c>
      <c r="I238" s="26" t="s">
        <v>231</v>
      </c>
      <c r="J238" s="26" t="s">
        <v>1178</v>
      </c>
      <c r="K238" s="17" t="s">
        <v>847</v>
      </c>
      <c r="L238" s="17" t="s">
        <v>847</v>
      </c>
      <c r="M238" s="17" t="s">
        <v>847</v>
      </c>
      <c r="N238" s="17" t="s">
        <v>847</v>
      </c>
      <c r="O238" s="17" t="s">
        <v>848</v>
      </c>
      <c r="P238" s="17" t="s">
        <v>848</v>
      </c>
      <c r="Q238" s="17" t="s">
        <v>848</v>
      </c>
      <c r="R238" s="17" t="s">
        <v>849</v>
      </c>
      <c r="S238" s="17" t="s">
        <v>849</v>
      </c>
      <c r="T238" s="17" t="s">
        <v>849</v>
      </c>
      <c r="U238" s="17" t="s">
        <v>849</v>
      </c>
      <c r="V238" s="17" t="s">
        <v>848</v>
      </c>
      <c r="W238" s="17">
        <f t="shared" si="12"/>
        <v>20</v>
      </c>
      <c r="X238" s="17" t="str">
        <f t="shared" si="13"/>
        <v>Crítico</v>
      </c>
      <c r="Y238" s="17" t="s">
        <v>851</v>
      </c>
      <c r="Z238" s="17" t="e" vm="1">
        <f>VLOOKUP(Tabela7[[#This Row],[Controle]],[1]!Tabela135[#Data],33,FALSE)</f>
        <v>#REF!</v>
      </c>
      <c r="AA238" s="17" t="e" vm="1">
        <f>VLOOKUP(Tabela7[[#This Row],[Controle]],[1]!Tabela135[#Data],34,FALSE)</f>
        <v>#REF!</v>
      </c>
      <c r="AB238" s="17" t="s">
        <v>854</v>
      </c>
      <c r="AC238" s="17"/>
      <c r="AD238" s="17"/>
      <c r="AE238" s="17"/>
    </row>
    <row r="239" spans="1:31" ht="35.25" customHeight="1">
      <c r="A239" s="21" t="s">
        <v>2513</v>
      </c>
      <c r="B239" s="28" t="s">
        <v>1220</v>
      </c>
      <c r="C239" s="17" t="s">
        <v>781</v>
      </c>
      <c r="D239" s="17" t="s">
        <v>1210</v>
      </c>
      <c r="E239" s="26" t="str" cm="1">
        <f t="array" ref="E239">IF($F239="Information Disclosure",Formatação!H$5,IF($F239="Repudiation",Formatação!H$4,IF($F239="Spoofing",Formatação!H$2,IF($F239="Tampering",Formatação!H$3, IF($F239="Denial of Service",Formatação!H$6,IF($F239="Elevation of Privilege",Formatação!H$7,IF($F239="Lateral Movement",Formatação!H$8,Errado)))))))</f>
        <v>Contenção</v>
      </c>
      <c r="F239" s="17" t="s">
        <v>20</v>
      </c>
      <c r="G239" s="26" t="str" cm="1">
        <f t="array" ref="G239">IF($F239="Information Disclosure",Formatação!J$5,IF($F239="Repudiation",Formatação!J$4,IF($F239="Spoofing",Formatação!J$2,IF($F239="Tampering",Formatação!J$3, IF($F239="Denial of Service",Formatação!J$6,IF($F239="Elevation of Privilege",Formatação!J$7,IF($F239="Lateral Movement",Formatação!J$8,Errado)))))))</f>
        <v>Vazamento de dados</v>
      </c>
      <c r="H239" s="26" t="s">
        <v>14</v>
      </c>
      <c r="I239" s="26" t="s">
        <v>231</v>
      </c>
      <c r="J239" s="26" t="s">
        <v>410</v>
      </c>
      <c r="K239" s="17" t="s">
        <v>847</v>
      </c>
      <c r="L239" s="17" t="s">
        <v>847</v>
      </c>
      <c r="M239" s="17" t="s">
        <v>847</v>
      </c>
      <c r="N239" s="17" t="s">
        <v>1293</v>
      </c>
      <c r="O239" s="17" t="s">
        <v>848</v>
      </c>
      <c r="P239" s="17" t="s">
        <v>848</v>
      </c>
      <c r="Q239" s="17" t="s">
        <v>848</v>
      </c>
      <c r="R239" s="17" t="s">
        <v>849</v>
      </c>
      <c r="S239" s="17" t="s">
        <v>849</v>
      </c>
      <c r="T239" s="17" t="s">
        <v>849</v>
      </c>
      <c r="U239" s="17" t="s">
        <v>849</v>
      </c>
      <c r="V239" s="17" t="s">
        <v>850</v>
      </c>
      <c r="W239" s="17">
        <f t="shared" si="12"/>
        <v>19</v>
      </c>
      <c r="X239" s="17" t="str">
        <f t="shared" si="13"/>
        <v>Crítico</v>
      </c>
      <c r="Y239" s="26" t="s">
        <v>851</v>
      </c>
      <c r="Z239" s="17" t="s">
        <v>2514</v>
      </c>
      <c r="AA239" s="17" t="s">
        <v>2515</v>
      </c>
      <c r="AB239" s="26" t="s">
        <v>854</v>
      </c>
      <c r="AC239" s="26"/>
      <c r="AD239" s="26"/>
      <c r="AE239" s="17"/>
    </row>
    <row r="240" spans="1:31" ht="35.25" customHeight="1">
      <c r="A240" s="21" t="s">
        <v>2516</v>
      </c>
      <c r="B240" s="28" t="s">
        <v>1222</v>
      </c>
      <c r="C240" s="17" t="s">
        <v>783</v>
      </c>
      <c r="D240" s="17" t="s">
        <v>1210</v>
      </c>
      <c r="E240" s="26" t="str" cm="1">
        <f t="array" ref="E240">IF($F240="Information Disclosure",Formatação!H$5,IF($F240="Repudiation",Formatação!H$4,IF($F240="Spoofing",Formatação!H$2,IF($F240="Tampering",Formatação!H$3, IF($F240="Denial of Service",Formatação!H$6,IF($F240="Elevation of Privilege",Formatação!H$7,IF($F240="Lateral Movement",Formatação!H$8,Errado)))))))</f>
        <v>Integridade</v>
      </c>
      <c r="F240" s="26" t="s">
        <v>25</v>
      </c>
      <c r="G240" s="26" t="str" cm="1">
        <f t="array" ref="G240">IF($F240="Information Disclosure",Formatação!J$5,IF($F240="Repudiation",Formatação!J$4,IF($F240="Spoofing",Formatação!J$2,IF($F240="Tampering",Formatação!J$3, IF($F240="Denial of Service",Formatação!J$6,IF($F240="Elevation of Privilege",Formatação!J$7,IF($F240="Lateral Movement",Formatação!J$8,Errado)))))))</f>
        <v>Danos a imagem</v>
      </c>
      <c r="H240" s="26" t="s">
        <v>26</v>
      </c>
      <c r="I240" s="26" t="s">
        <v>231</v>
      </c>
      <c r="J240" s="26" t="s">
        <v>1178</v>
      </c>
      <c r="K240" s="17" t="s">
        <v>847</v>
      </c>
      <c r="L240" s="17" t="s">
        <v>847</v>
      </c>
      <c r="M240" s="17" t="s">
        <v>847</v>
      </c>
      <c r="N240" s="17" t="s">
        <v>1293</v>
      </c>
      <c r="O240" s="17" t="s">
        <v>848</v>
      </c>
      <c r="P240" s="17" t="s">
        <v>848</v>
      </c>
      <c r="Q240" s="17" t="s">
        <v>848</v>
      </c>
      <c r="R240" s="17" t="s">
        <v>849</v>
      </c>
      <c r="S240" s="17" t="s">
        <v>849</v>
      </c>
      <c r="T240" s="17" t="s">
        <v>849</v>
      </c>
      <c r="U240" s="17" t="s">
        <v>849</v>
      </c>
      <c r="V240" s="17" t="s">
        <v>850</v>
      </c>
      <c r="W240" s="17">
        <f t="shared" si="12"/>
        <v>19</v>
      </c>
      <c r="X240" s="17" t="str">
        <f t="shared" si="13"/>
        <v>Crítico</v>
      </c>
      <c r="Y240" s="26" t="s">
        <v>851</v>
      </c>
      <c r="Z240" s="17" t="s">
        <v>2517</v>
      </c>
      <c r="AA240" s="17" t="s">
        <v>2518</v>
      </c>
      <c r="AB240" s="26" t="s">
        <v>854</v>
      </c>
      <c r="AC240" s="26"/>
      <c r="AD240" s="26"/>
      <c r="AE240" s="17"/>
    </row>
    <row r="241" spans="1:31" ht="35.25" customHeight="1">
      <c r="A241" s="21" t="s">
        <v>2519</v>
      </c>
      <c r="B241" s="28" t="s">
        <v>784</v>
      </c>
      <c r="C241" s="17" t="s">
        <v>785</v>
      </c>
      <c r="D241" s="17" t="s">
        <v>1210</v>
      </c>
      <c r="E241" s="26" t="str" cm="1">
        <f t="array" ref="E241">IF($F241="Information Disclosure",Formatação!H$5,IF($F241="Repudiation",Formatação!H$4,IF($F241="Spoofing",Formatação!H$2,IF($F241="Tampering",Formatação!H$3, IF($F241="Denial of Service",Formatação!H$6,IF($F241="Elevation of Privilege",Formatação!H$7,IF($F241="Lateral Movement",Formatação!H$8,Errado)))))))</f>
        <v>Integridade</v>
      </c>
      <c r="F241" s="26" t="s">
        <v>25</v>
      </c>
      <c r="G241" s="26" t="str" cm="1">
        <f t="array" ref="G241">IF($F241="Information Disclosure",Formatação!J$5,IF($F241="Repudiation",Formatação!J$4,IF($F241="Spoofing",Formatação!J$2,IF($F241="Tampering",Formatação!J$3, IF($F241="Denial of Service",Formatação!J$6,IF($F241="Elevation of Privilege",Formatação!J$7,IF($F241="Lateral Movement",Formatação!J$8,Errado)))))))</f>
        <v>Danos a imagem</v>
      </c>
      <c r="H241" s="26" t="s">
        <v>29</v>
      </c>
      <c r="I241" s="26" t="s">
        <v>231</v>
      </c>
      <c r="J241" s="26" t="s">
        <v>410</v>
      </c>
      <c r="K241" s="17" t="s">
        <v>847</v>
      </c>
      <c r="L241" s="17" t="s">
        <v>847</v>
      </c>
      <c r="M241" s="17" t="s">
        <v>847</v>
      </c>
      <c r="N241" s="17" t="s">
        <v>1293</v>
      </c>
      <c r="O241" s="17" t="s">
        <v>848</v>
      </c>
      <c r="P241" s="17" t="s">
        <v>848</v>
      </c>
      <c r="Q241" s="17" t="s">
        <v>848</v>
      </c>
      <c r="R241" s="17" t="s">
        <v>849</v>
      </c>
      <c r="S241" s="17" t="s">
        <v>849</v>
      </c>
      <c r="T241" s="17" t="s">
        <v>849</v>
      </c>
      <c r="U241" s="17" t="s">
        <v>849</v>
      </c>
      <c r="V241" s="17" t="s">
        <v>850</v>
      </c>
      <c r="W241" s="17">
        <f t="shared" si="12"/>
        <v>19</v>
      </c>
      <c r="X241" s="17" t="str">
        <f t="shared" si="13"/>
        <v>Crítico</v>
      </c>
      <c r="Y241" s="26" t="s">
        <v>851</v>
      </c>
      <c r="Z241" s="17" t="s">
        <v>2517</v>
      </c>
      <c r="AA241" s="17" t="s">
        <v>2518</v>
      </c>
      <c r="AB241" s="26" t="s">
        <v>854</v>
      </c>
      <c r="AC241" s="26"/>
      <c r="AD241" s="26"/>
      <c r="AE241" s="17"/>
    </row>
    <row r="242" spans="1:31" ht="35.25" customHeight="1">
      <c r="A242" s="21" t="s">
        <v>2520</v>
      </c>
      <c r="B242" s="53" t="s">
        <v>1225</v>
      </c>
      <c r="C242" s="17" t="s">
        <v>787</v>
      </c>
      <c r="D242" s="17" t="s">
        <v>1210</v>
      </c>
      <c r="E242" s="17" t="str" cm="1">
        <f t="array" ref="E242">IF($F242="Information Disclosure",Formatação!H$5,IF($F242="Repudiation",Formatação!H$4,IF($F242="Spoofing",Formatação!H$2,IF($F242="Tampering",Formatação!H$3, IF($F242="Denial of Service",Formatação!H$6,IF($F242="Elevation of Privilege",Formatação!H$7,IF($F242="Lateral Movement",Formatação!H$8,Errado)))))))</f>
        <v>Confidencialidade</v>
      </c>
      <c r="F242" s="17" t="s">
        <v>35</v>
      </c>
      <c r="G242" s="17" t="str" cm="1">
        <f t="array" ref="G242">IF($F242="Information Disclosure",Formatação!J$5,IF($F242="Repudiation",Formatação!J$4,IF($F242="Spoofing",Formatação!J$2,IF($F242="Tampering",Formatação!J$3, IF($F242="Denial of Service",Formatação!J$6,IF($F242="Elevation of Privilege",Formatação!J$7,IF($F242="Lateral Movement",Formatação!J$8,Errado)))))))</f>
        <v>Vazamento de dados</v>
      </c>
      <c r="H242" s="17" t="s">
        <v>33</v>
      </c>
      <c r="I242" s="17" t="s">
        <v>231</v>
      </c>
      <c r="J242" s="17" t="s">
        <v>410</v>
      </c>
      <c r="K242" s="17" t="s">
        <v>847</v>
      </c>
      <c r="L242" s="17" t="s">
        <v>847</v>
      </c>
      <c r="M242" s="17" t="s">
        <v>847</v>
      </c>
      <c r="N242" s="17" t="s">
        <v>1293</v>
      </c>
      <c r="O242" s="17" t="s">
        <v>848</v>
      </c>
      <c r="P242" s="17" t="s">
        <v>848</v>
      </c>
      <c r="Q242" s="17" t="s">
        <v>848</v>
      </c>
      <c r="R242" s="17" t="s">
        <v>849</v>
      </c>
      <c r="S242" s="17" t="s">
        <v>849</v>
      </c>
      <c r="T242" s="17" t="s">
        <v>849</v>
      </c>
      <c r="U242" s="17" t="s">
        <v>849</v>
      </c>
      <c r="V242" s="17" t="s">
        <v>850</v>
      </c>
      <c r="W242" s="17">
        <f t="shared" si="12"/>
        <v>19</v>
      </c>
      <c r="X242" s="17" t="str">
        <f t="shared" si="13"/>
        <v>Crítico</v>
      </c>
      <c r="Y242" s="17" t="s">
        <v>851</v>
      </c>
      <c r="Z242" s="17" t="e" vm="1">
        <f>VLOOKUP(Tabela7[[#This Row],[Controle]],[1]!Tabela135[#Data],33,FALSE)</f>
        <v>#REF!</v>
      </c>
      <c r="AA242" s="17" t="e" vm="1">
        <f>VLOOKUP(Tabela7[[#This Row],[Controle]],[1]!Tabela135[#Data],34,FALSE)</f>
        <v>#REF!</v>
      </c>
      <c r="AB242" s="17" t="s">
        <v>854</v>
      </c>
      <c r="AC242" s="17"/>
      <c r="AD242" s="17"/>
      <c r="AE242" s="17"/>
    </row>
    <row r="243" spans="1:31" ht="35.25" customHeight="1">
      <c r="A243" s="21" t="s">
        <v>2521</v>
      </c>
      <c r="B243" s="53" t="s">
        <v>1227</v>
      </c>
      <c r="C243" s="17" t="s">
        <v>789</v>
      </c>
      <c r="D243" s="17" t="s">
        <v>1210</v>
      </c>
      <c r="E243" s="17" t="str" cm="1">
        <f t="array" ref="E243">IF($F243="Information Disclosure",Formatação!H$5,IF($F243="Repudiation",Formatação!H$4,IF($F243="Spoofing",Formatação!H$2,IF($F243="Tampering",Formatação!H$3, IF($F243="Denial of Service",Formatação!H$6,IF($F243="Elevation of Privilege",Formatação!H$7,IF($F243="Lateral Movement",Formatação!H$8,Errado)))))))</f>
        <v>Contenção</v>
      </c>
      <c r="F243" s="17" t="s">
        <v>20</v>
      </c>
      <c r="G243" s="17" t="str" cm="1">
        <f t="array" ref="G243">IF($F243="Information Disclosure",Formatação!J$5,IF($F243="Repudiation",Formatação!J$4,IF($F243="Spoofing",Formatação!J$2,IF($F243="Tampering",Formatação!J$3, IF($F243="Denial of Service",Formatação!J$6,IF($F243="Elevation of Privilege",Formatação!J$7,IF($F243="Lateral Movement",Formatação!J$8,Errado)))))))</f>
        <v>Vazamento de dados</v>
      </c>
      <c r="H243" s="17" t="s">
        <v>375</v>
      </c>
      <c r="I243" s="17" t="s">
        <v>231</v>
      </c>
      <c r="J243" s="17" t="s">
        <v>410</v>
      </c>
      <c r="K243" s="17" t="s">
        <v>847</v>
      </c>
      <c r="L243" s="17" t="s">
        <v>847</v>
      </c>
      <c r="M243" s="17" t="s">
        <v>847</v>
      </c>
      <c r="N243" s="17" t="s">
        <v>1293</v>
      </c>
      <c r="O243" s="17" t="s">
        <v>848</v>
      </c>
      <c r="P243" s="17" t="s">
        <v>849</v>
      </c>
      <c r="Q243" s="17" t="s">
        <v>848</v>
      </c>
      <c r="R243" s="17" t="s">
        <v>849</v>
      </c>
      <c r="S243" s="17" t="s">
        <v>849</v>
      </c>
      <c r="T243" s="17" t="s">
        <v>849</v>
      </c>
      <c r="U243" s="17" t="s">
        <v>849</v>
      </c>
      <c r="V243" s="17" t="s">
        <v>850</v>
      </c>
      <c r="W243" s="17">
        <f t="shared" si="12"/>
        <v>18</v>
      </c>
      <c r="X243" s="17" t="str">
        <f t="shared" si="13"/>
        <v>Alto</v>
      </c>
      <c r="Y243" s="17" t="s">
        <v>1704</v>
      </c>
      <c r="Z243" s="17" t="e" vm="1">
        <f>VLOOKUP(Tabela7[[#This Row],[Controle]],[1]!Tabela135[#Data],33,FALSE)</f>
        <v>#REF!</v>
      </c>
      <c r="AA243" s="17" t="e" vm="1">
        <f>VLOOKUP(Tabela7[[#This Row],[Controle]],[1]!Tabela135[#Data],34,FALSE)</f>
        <v>#REF!</v>
      </c>
      <c r="AB243" s="17" t="s">
        <v>987</v>
      </c>
      <c r="AC243" s="17"/>
      <c r="AD243" s="17"/>
      <c r="AE243" s="17"/>
    </row>
    <row r="244" spans="1:31" ht="35.25" customHeight="1">
      <c r="A244" s="21" t="s">
        <v>2522</v>
      </c>
      <c r="B244" s="53" t="s">
        <v>1229</v>
      </c>
      <c r="C244" s="17" t="s">
        <v>790</v>
      </c>
      <c r="D244" s="17" t="s">
        <v>1230</v>
      </c>
      <c r="E244" s="17" t="str" cm="1">
        <f t="array" ref="E244">IF($F244="Information Disclosure",Formatação!H$5,IF($F244="Repudiation",Formatação!H$4,IF($F244="Spoofing",Formatação!H$2,IF($F244="Tampering",Formatação!H$3, IF($F244="Denial of Service",Formatação!H$6,IF($F244="Elevation of Privilege",Formatação!H$7,IF($F244="Lateral Movement",Formatação!H$8,Errado)))))))</f>
        <v>Autenticação</v>
      </c>
      <c r="F244" s="17" t="s">
        <v>102</v>
      </c>
      <c r="G244" s="17" t="str" cm="1">
        <f t="array" ref="G244">IF($F244="Information Disclosure",Formatação!J$5,IF($F244="Repudiation",Formatação!J$4,IF($F244="Spoofing",Formatação!J$2,IF($F244="Tampering",Formatação!J$3, IF($F244="Denial of Service",Formatação!J$6,IF($F244="Elevation of Privilege",Formatação!J$7,IF($F244="Lateral Movement",Formatação!J$8,Errado)))))))</f>
        <v>Fraudes/Vazamento de dados</v>
      </c>
      <c r="H244" s="17" t="s">
        <v>271</v>
      </c>
      <c r="I244" s="17" t="s">
        <v>409</v>
      </c>
      <c r="J244" s="17" t="s">
        <v>413</v>
      </c>
      <c r="K244" s="17" t="s">
        <v>847</v>
      </c>
      <c r="L244" s="17" t="s">
        <v>847</v>
      </c>
      <c r="M244" s="17" t="s">
        <v>847</v>
      </c>
      <c r="N244" s="17" t="s">
        <v>1293</v>
      </c>
      <c r="O244" s="17" t="s">
        <v>1614</v>
      </c>
      <c r="P244" s="17" t="s">
        <v>848</v>
      </c>
      <c r="Q244" s="17" t="s">
        <v>848</v>
      </c>
      <c r="R244" s="17" t="s">
        <v>849</v>
      </c>
      <c r="S244" s="17" t="s">
        <v>849</v>
      </c>
      <c r="T244" s="17" t="s">
        <v>849</v>
      </c>
      <c r="U244" s="17" t="s">
        <v>849</v>
      </c>
      <c r="V244" s="17" t="s">
        <v>850</v>
      </c>
      <c r="W244" s="17">
        <f t="shared" si="12"/>
        <v>16</v>
      </c>
      <c r="X244" s="17" t="str">
        <f t="shared" si="13"/>
        <v>Alto</v>
      </c>
      <c r="Y244" s="17" t="s">
        <v>851</v>
      </c>
      <c r="Z244" s="17" t="e" vm="1">
        <f>VLOOKUP(Tabela7[[#This Row],[Controle]],[1]!Tabela135[#Data],33,FALSE)</f>
        <v>#REF!</v>
      </c>
      <c r="AA244" s="17" t="e" vm="1">
        <f>VLOOKUP(Tabela7[[#This Row],[Controle]],[1]!Tabela135[#Data],34,FALSE)</f>
        <v>#REF!</v>
      </c>
      <c r="AB244" s="17" t="s">
        <v>856</v>
      </c>
      <c r="AC244" s="17"/>
      <c r="AD244" s="17"/>
      <c r="AE244" s="17"/>
    </row>
    <row r="245" spans="1:31" ht="35.25" customHeight="1">
      <c r="A245" s="21" t="s">
        <v>2523</v>
      </c>
      <c r="B245" s="53" t="s">
        <v>1232</v>
      </c>
      <c r="C245" s="17" t="s">
        <v>791</v>
      </c>
      <c r="D245" s="17" t="s">
        <v>1230</v>
      </c>
      <c r="E245" s="17" t="str" cm="1">
        <f t="array" ref="E245">IF($F245="Information Disclosure",Formatação!H$5,IF($F245="Repudiation",Formatação!H$4,IF($F245="Spoofing",Formatação!H$2,IF($F245="Tampering",Formatação!H$3, IF($F245="Denial of Service",Formatação!H$6,IF($F245="Elevation of Privilege",Formatação!H$7,IF($F245="Lateral Movement",Formatação!H$8,Errado)))))))</f>
        <v>Autenticação</v>
      </c>
      <c r="F245" s="17" t="s">
        <v>102</v>
      </c>
      <c r="G245" s="17" t="str" cm="1">
        <f t="array" ref="G245">IF($F245="Information Disclosure",Formatação!J$5,IF($F245="Repudiation",Formatação!J$4,IF($F245="Spoofing",Formatação!J$2,IF($F245="Tampering",Formatação!J$3, IF($F245="Denial of Service",Formatação!J$6,IF($F245="Elevation of Privilege",Formatação!J$7,IF($F245="Lateral Movement",Formatação!J$8,Errado)))))))</f>
        <v>Fraudes/Vazamento de dados</v>
      </c>
      <c r="H245" s="17" t="s">
        <v>271</v>
      </c>
      <c r="I245" s="17" t="s">
        <v>409</v>
      </c>
      <c r="J245" s="17" t="s">
        <v>413</v>
      </c>
      <c r="K245" s="17" t="s">
        <v>847</v>
      </c>
      <c r="L245" s="17" t="s">
        <v>847</v>
      </c>
      <c r="M245" s="17" t="s">
        <v>847</v>
      </c>
      <c r="N245" s="17" t="s">
        <v>1293</v>
      </c>
      <c r="O245" s="17" t="s">
        <v>1614</v>
      </c>
      <c r="P245" s="17" t="s">
        <v>848</v>
      </c>
      <c r="Q245" s="17" t="s">
        <v>848</v>
      </c>
      <c r="R245" s="17" t="s">
        <v>849</v>
      </c>
      <c r="S245" s="17" t="s">
        <v>849</v>
      </c>
      <c r="T245" s="17" t="s">
        <v>849</v>
      </c>
      <c r="U245" s="17" t="s">
        <v>849</v>
      </c>
      <c r="V245" s="17" t="s">
        <v>850</v>
      </c>
      <c r="W245" s="17">
        <f t="shared" si="12"/>
        <v>16</v>
      </c>
      <c r="X245" s="17" t="str">
        <f t="shared" si="13"/>
        <v>Alto</v>
      </c>
      <c r="Y245" s="17" t="s">
        <v>851</v>
      </c>
      <c r="Z245" s="17" t="e" vm="1">
        <f>VLOOKUP(Tabela7[[#This Row],[Controle]],[1]!Tabela135[#Data],33,FALSE)</f>
        <v>#REF!</v>
      </c>
      <c r="AA245" s="17" t="e" vm="1">
        <f>VLOOKUP(Tabela7[[#This Row],[Controle]],[1]!Tabela135[#Data],34,FALSE)</f>
        <v>#REF!</v>
      </c>
      <c r="AB245" s="17" t="s">
        <v>856</v>
      </c>
      <c r="AC245" s="17"/>
      <c r="AD245" s="17"/>
      <c r="AE245" s="17"/>
    </row>
    <row r="246" spans="1:31" ht="35.25" customHeight="1">
      <c r="A246" s="21" t="s">
        <v>2524</v>
      </c>
      <c r="B246" s="53" t="s">
        <v>1234</v>
      </c>
      <c r="C246" s="17" t="s">
        <v>792</v>
      </c>
      <c r="D246" s="17" t="s">
        <v>1230</v>
      </c>
      <c r="E246" s="17" t="str" cm="1">
        <f t="array" ref="E246">IF($F246="Information Disclosure",Formatação!H$5,IF($F246="Repudiation",Formatação!H$4,IF($F246="Spoofing",Formatação!H$2,IF($F246="Tampering",Formatação!H$3, IF($F246="Denial of Service",Formatação!H$6,IF($F246="Elevation of Privilege",Formatação!H$7,IF($F246="Lateral Movement",Formatação!H$8,Errado)))))))</f>
        <v>Autenticação</v>
      </c>
      <c r="F246" s="17" t="s">
        <v>102</v>
      </c>
      <c r="G246" s="17" t="str" cm="1">
        <f t="array" ref="G246">IF($F246="Information Disclosure",Formatação!J$5,IF($F246="Repudiation",Formatação!J$4,IF($F246="Spoofing",Formatação!J$2,IF($F246="Tampering",Formatação!J$3, IF($F246="Denial of Service",Formatação!J$6,IF($F246="Elevation of Privilege",Formatação!J$7,IF($F246="Lateral Movement",Formatação!J$8,Errado)))))))</f>
        <v>Fraudes/Vazamento de dados</v>
      </c>
      <c r="H246" s="17" t="s">
        <v>271</v>
      </c>
      <c r="I246" s="17" t="s">
        <v>409</v>
      </c>
      <c r="J246" s="17" t="s">
        <v>413</v>
      </c>
      <c r="K246" s="17" t="s">
        <v>847</v>
      </c>
      <c r="L246" s="17" t="s">
        <v>847</v>
      </c>
      <c r="M246" s="17" t="s">
        <v>847</v>
      </c>
      <c r="N246" s="17" t="s">
        <v>1293</v>
      </c>
      <c r="O246" s="17" t="s">
        <v>1614</v>
      </c>
      <c r="P246" s="17" t="s">
        <v>848</v>
      </c>
      <c r="Q246" s="17" t="s">
        <v>848</v>
      </c>
      <c r="R246" s="17" t="s">
        <v>849</v>
      </c>
      <c r="S246" s="17" t="s">
        <v>849</v>
      </c>
      <c r="T246" s="17" t="s">
        <v>849</v>
      </c>
      <c r="U246" s="17" t="s">
        <v>849</v>
      </c>
      <c r="V246" s="17" t="s">
        <v>850</v>
      </c>
      <c r="W246" s="17">
        <f t="shared" si="12"/>
        <v>16</v>
      </c>
      <c r="X246" s="17" t="str">
        <f t="shared" si="13"/>
        <v>Alto</v>
      </c>
      <c r="Y246" s="17" t="s">
        <v>851</v>
      </c>
      <c r="Z246" s="17" t="s">
        <v>2525</v>
      </c>
      <c r="AA246" s="17" t="s">
        <v>2526</v>
      </c>
      <c r="AB246" s="17" t="s">
        <v>856</v>
      </c>
      <c r="AC246" s="17"/>
      <c r="AD246" s="17"/>
      <c r="AE246" s="17"/>
    </row>
    <row r="247" spans="1:31" ht="35.25" customHeight="1">
      <c r="A247" s="21" t="s">
        <v>2527</v>
      </c>
      <c r="B247" s="53" t="s">
        <v>1236</v>
      </c>
      <c r="C247" s="17" t="s">
        <v>793</v>
      </c>
      <c r="D247" s="17" t="s">
        <v>1230</v>
      </c>
      <c r="E247" s="17" t="str" cm="1">
        <f t="array" ref="E247">IF($F247="Information Disclosure",Formatação!H$5,IF($F247="Repudiation",Formatação!H$4,IF($F247="Spoofing",Formatação!H$2,IF($F247="Tampering",Formatação!H$3, IF($F247="Denial of Service",Formatação!H$6,IF($F247="Elevation of Privilege",Formatação!H$7,IF($F247="Lateral Movement",Formatação!H$8,Errado)))))))</f>
        <v>Integridade</v>
      </c>
      <c r="F247" s="17" t="s">
        <v>25</v>
      </c>
      <c r="G247" s="17" t="str" cm="1">
        <f t="array" ref="G247">IF($F247="Information Disclosure",Formatação!J$5,IF($F247="Repudiation",Formatação!J$4,IF($F247="Spoofing",Formatação!J$2,IF($F247="Tampering",Formatação!J$3, IF($F247="Denial of Service",Formatação!J$6,IF($F247="Elevation of Privilege",Formatação!J$7,IF($F247="Lateral Movement",Formatação!J$8,Errado)))))))</f>
        <v>Danos a imagem</v>
      </c>
      <c r="H247" s="17" t="s">
        <v>259</v>
      </c>
      <c r="I247" s="17" t="s">
        <v>409</v>
      </c>
      <c r="J247" s="17" t="s">
        <v>232</v>
      </c>
      <c r="K247" s="17" t="s">
        <v>847</v>
      </c>
      <c r="L247" s="17" t="s">
        <v>847</v>
      </c>
      <c r="M247" s="17" t="s">
        <v>847</v>
      </c>
      <c r="N247" s="17" t="s">
        <v>1293</v>
      </c>
      <c r="O247" s="17" t="s">
        <v>848</v>
      </c>
      <c r="P247" s="17" t="s">
        <v>848</v>
      </c>
      <c r="Q247" s="17" t="s">
        <v>848</v>
      </c>
      <c r="R247" s="17" t="s">
        <v>849</v>
      </c>
      <c r="S247" s="17" t="s">
        <v>849</v>
      </c>
      <c r="T247" s="17" t="s">
        <v>849</v>
      </c>
      <c r="U247" s="17" t="s">
        <v>849</v>
      </c>
      <c r="V247" s="17" t="s">
        <v>850</v>
      </c>
      <c r="W247" s="17">
        <f t="shared" si="12"/>
        <v>19</v>
      </c>
      <c r="X247" s="17" t="str">
        <f t="shared" si="13"/>
        <v>Crítico</v>
      </c>
      <c r="Y247" s="17" t="s">
        <v>851</v>
      </c>
      <c r="Z247" s="17" t="e" vm="1">
        <f>VLOOKUP(Tabela7[[#This Row],[Controle]],[1]!Tabela135[#Data],33,FALSE)</f>
        <v>#REF!</v>
      </c>
      <c r="AA247" s="17" t="e" vm="1">
        <f>VLOOKUP(Tabela7[[#This Row],[Controle]],[1]!Tabela135[#Data],34,FALSE)</f>
        <v>#REF!</v>
      </c>
      <c r="AB247" s="17" t="s">
        <v>854</v>
      </c>
      <c r="AC247" s="17"/>
      <c r="AD247" s="17"/>
      <c r="AE247" s="17"/>
    </row>
    <row r="248" spans="1:31" ht="35.25" customHeight="1">
      <c r="A248" s="21" t="s">
        <v>2528</v>
      </c>
      <c r="B248" s="53" t="s">
        <v>510</v>
      </c>
      <c r="C248" s="17" t="s">
        <v>795</v>
      </c>
      <c r="D248" s="17" t="s">
        <v>1230</v>
      </c>
      <c r="E248" s="17" t="str" cm="1">
        <f t="array" ref="E248">IF($F248="Information Disclosure",Formatação!H$5,IF($F248="Repudiation",Formatação!H$4,IF($F248="Spoofing",Formatação!H$2,IF($F248="Tampering",Formatação!H$3, IF($F248="Denial of Service",Formatação!H$6,IF($F248="Elevation of Privilege",Formatação!H$7,IF($F248="Lateral Movement",Formatação!H$8,Errado)))))))</f>
        <v>Confidencialidade</v>
      </c>
      <c r="F248" s="17" t="s">
        <v>67</v>
      </c>
      <c r="G248" s="17" t="str" cm="1">
        <f t="array" ref="G248">IF($F248="Information Disclosure",Formatação!J$5,IF($F248="Repudiation",Formatação!J$4,IF($F248="Spoofing",Formatação!J$2,IF($F248="Tampering",Formatação!J$3, IF($F248="Denial of Service",Formatação!J$6,IF($F248="Elevation of Privilege",Formatação!J$7,IF($F248="Lateral Movement",Formatação!J$8,Errado)))))))</f>
        <v>Vazamento de dados</v>
      </c>
      <c r="H248" s="17" t="s">
        <v>23</v>
      </c>
      <c r="I248" s="17" t="s">
        <v>409</v>
      </c>
      <c r="J248" s="17" t="s">
        <v>232</v>
      </c>
      <c r="K248" s="17" t="s">
        <v>847</v>
      </c>
      <c r="L248" s="17" t="s">
        <v>847</v>
      </c>
      <c r="M248" s="17" t="s">
        <v>847</v>
      </c>
      <c r="N248" s="17" t="s">
        <v>1293</v>
      </c>
      <c r="O248" s="17" t="s">
        <v>848</v>
      </c>
      <c r="P248" s="17" t="s">
        <v>848</v>
      </c>
      <c r="Q248" s="17" t="s">
        <v>848</v>
      </c>
      <c r="R248" s="17" t="s">
        <v>849</v>
      </c>
      <c r="S248" s="17" t="s">
        <v>849</v>
      </c>
      <c r="T248" s="17" t="s">
        <v>849</v>
      </c>
      <c r="U248" s="17" t="s">
        <v>849</v>
      </c>
      <c r="V248" s="17" t="s">
        <v>850</v>
      </c>
      <c r="W248" s="17">
        <f t="shared" si="12"/>
        <v>19</v>
      </c>
      <c r="X248" s="17" t="str">
        <f t="shared" si="13"/>
        <v>Crítico</v>
      </c>
      <c r="Y248" s="17" t="s">
        <v>851</v>
      </c>
      <c r="Z248" s="17" t="s">
        <v>2529</v>
      </c>
      <c r="AA248" s="17" t="s">
        <v>2530</v>
      </c>
      <c r="AB248" s="17" t="s">
        <v>854</v>
      </c>
      <c r="AC248" s="17"/>
      <c r="AD248" s="17"/>
      <c r="AE248" s="17"/>
    </row>
    <row r="249" spans="1:31" ht="35.25" customHeight="1">
      <c r="A249" s="21" t="s">
        <v>2531</v>
      </c>
      <c r="B249" s="53" t="s">
        <v>1239</v>
      </c>
      <c r="C249" s="17" t="s">
        <v>797</v>
      </c>
      <c r="D249" s="17" t="s">
        <v>1230</v>
      </c>
      <c r="E249" s="17" t="str" cm="1">
        <f t="array" ref="E249">IF($F249="Information Disclosure",Formatação!H$5,IF($F249="Repudiation",Formatação!H$4,IF($F249="Spoofing",Formatação!H$2,IF($F249="Tampering",Formatação!H$3, IF($F249="Denial of Service",Formatação!H$6,IF($F249="Elevation of Privilege",Formatação!H$7,IF($F249="Lateral Movement",Formatação!H$8,Errado)))))))</f>
        <v>Autenticação</v>
      </c>
      <c r="F249" s="17" t="s">
        <v>102</v>
      </c>
      <c r="G249" s="17" t="str" cm="1">
        <f t="array" ref="G249">IF($F249="Information Disclosure",Formatação!J$5,IF($F249="Repudiation",Formatação!J$4,IF($F249="Spoofing",Formatação!J$2,IF($F249="Tampering",Formatação!J$3, IF($F249="Denial of Service",Formatação!J$6,IF($F249="Elevation of Privilege",Formatação!J$7,IF($F249="Lateral Movement",Formatação!J$8,Errado)))))))</f>
        <v>Fraudes/Vazamento de dados</v>
      </c>
      <c r="H249" s="17" t="s">
        <v>271</v>
      </c>
      <c r="I249" s="17" t="s">
        <v>409</v>
      </c>
      <c r="J249" s="17" t="s">
        <v>413</v>
      </c>
      <c r="K249" s="17" t="s">
        <v>847</v>
      </c>
      <c r="L249" s="17" t="s">
        <v>847</v>
      </c>
      <c r="M249" s="17" t="s">
        <v>847</v>
      </c>
      <c r="N249" s="17" t="s">
        <v>1293</v>
      </c>
      <c r="O249" s="17" t="s">
        <v>848</v>
      </c>
      <c r="P249" s="17" t="s">
        <v>848</v>
      </c>
      <c r="Q249" s="17" t="s">
        <v>848</v>
      </c>
      <c r="R249" s="17" t="s">
        <v>849</v>
      </c>
      <c r="S249" s="17" t="s">
        <v>849</v>
      </c>
      <c r="T249" s="17" t="s">
        <v>849</v>
      </c>
      <c r="U249" s="17" t="s">
        <v>849</v>
      </c>
      <c r="V249" s="17" t="s">
        <v>850</v>
      </c>
      <c r="W249" s="17">
        <f t="shared" si="12"/>
        <v>19</v>
      </c>
      <c r="X249" s="17" t="str">
        <f t="shared" si="13"/>
        <v>Crítico</v>
      </c>
      <c r="Y249" s="17" t="s">
        <v>851</v>
      </c>
      <c r="Z249" s="17" t="e" vm="1">
        <f>VLOOKUP(Tabela7[[#This Row],[Controle]],[1]!Tabela135[#Data],33,FALSE)</f>
        <v>#REF!</v>
      </c>
      <c r="AA249" s="17" t="e" vm="1">
        <f>VLOOKUP(Tabela7[[#This Row],[Controle]],[1]!Tabela135[#Data],34,FALSE)</f>
        <v>#REF!</v>
      </c>
      <c r="AB249" s="17" t="s">
        <v>856</v>
      </c>
      <c r="AC249" s="17"/>
      <c r="AD249" s="17"/>
      <c r="AE249" s="17"/>
    </row>
    <row r="250" spans="1:31" ht="35.25" customHeight="1">
      <c r="A250" s="21" t="s">
        <v>2532</v>
      </c>
      <c r="B250" s="28" t="s">
        <v>1241</v>
      </c>
      <c r="C250" s="17" t="s">
        <v>798</v>
      </c>
      <c r="D250" s="17" t="s">
        <v>1230</v>
      </c>
      <c r="E250" s="26" t="str" cm="1">
        <f t="array" ref="E250">IF($F250="Information Disclosure",Formatação!H$5,IF($F250="Repudiation",Formatação!H$4,IF($F250="Spoofing",Formatação!H$2,IF($F250="Tampering",Formatação!H$3, IF($F250="Denial of Service",Formatação!H$6,IF($F250="Elevation of Privilege",Formatação!H$7,IF($F250="Lateral Movement",Formatação!H$8,Errado)))))))</f>
        <v>Autenticação</v>
      </c>
      <c r="F250" s="17" t="s">
        <v>102</v>
      </c>
      <c r="G250" s="26" t="str" cm="1">
        <f t="array" ref="G250">IF($F250="Information Disclosure",Formatação!J$5,IF($F250="Repudiation",Formatação!J$4,IF($F250="Spoofing",Formatação!J$2,IF($F250="Tampering",Formatação!J$3, IF($F250="Denial of Service",Formatação!J$6,IF($F250="Elevation of Privilege",Formatação!J$7,IF($F250="Lateral Movement",Formatação!J$8,Errado)))))))</f>
        <v>Fraudes/Vazamento de dados</v>
      </c>
      <c r="H250" s="17" t="s">
        <v>271</v>
      </c>
      <c r="I250" s="17" t="s">
        <v>409</v>
      </c>
      <c r="J250" s="17" t="s">
        <v>413</v>
      </c>
      <c r="K250" s="17" t="s">
        <v>847</v>
      </c>
      <c r="L250" s="17" t="s">
        <v>847</v>
      </c>
      <c r="M250" s="17" t="s">
        <v>847</v>
      </c>
      <c r="N250" s="17" t="s">
        <v>1293</v>
      </c>
      <c r="O250" s="17" t="s">
        <v>849</v>
      </c>
      <c r="P250" s="17" t="s">
        <v>848</v>
      </c>
      <c r="Q250" s="17" t="s">
        <v>848</v>
      </c>
      <c r="R250" s="17" t="s">
        <v>849</v>
      </c>
      <c r="S250" s="17" t="s">
        <v>849</v>
      </c>
      <c r="T250" s="17" t="s">
        <v>849</v>
      </c>
      <c r="U250" s="17" t="s">
        <v>849</v>
      </c>
      <c r="V250" s="17" t="s">
        <v>850</v>
      </c>
      <c r="W250" s="17">
        <f t="shared" si="12"/>
        <v>18</v>
      </c>
      <c r="X250" s="17" t="str">
        <f t="shared" si="13"/>
        <v>Alto</v>
      </c>
      <c r="Y250" s="26" t="s">
        <v>851</v>
      </c>
      <c r="Z250" s="17" t="e" vm="1">
        <f>VLOOKUP(Tabela7[[#This Row],[Controle]],[1]!Tabela135[#Data],33,FALSE)</f>
        <v>#REF!</v>
      </c>
      <c r="AA250" s="17" t="e" vm="1">
        <f>VLOOKUP(Tabela7[[#This Row],[Controle]],[1]!Tabela135[#Data],34,FALSE)</f>
        <v>#REF!</v>
      </c>
      <c r="AB250" s="26" t="s">
        <v>856</v>
      </c>
      <c r="AC250" s="26"/>
      <c r="AD250" s="26"/>
      <c r="AE250" s="17"/>
    </row>
    <row r="251" spans="1:31" ht="35.25" customHeight="1">
      <c r="A251" s="21" t="s">
        <v>2533</v>
      </c>
      <c r="B251" s="28" t="s">
        <v>1048</v>
      </c>
      <c r="C251" s="17" t="s">
        <v>712</v>
      </c>
      <c r="D251" s="17" t="s">
        <v>1049</v>
      </c>
      <c r="E251" s="26" t="str" cm="1">
        <f t="array" ref="E251">IF($F251="Information Disclosure",Formatação!H$5,IF($F251="Repudiation",Formatação!H$4,IF($F251="Spoofing",Formatação!H$2,IF($F251="Tampering",Formatação!H$3, IF($F251="Denial of Service",Formatação!H$6,IF($F251="Elevation of Privilege",Formatação!H$7,IF($F251="Lateral Movement",Formatação!H$8,Errado)))))))</f>
        <v>Autenticação</v>
      </c>
      <c r="F251" s="26" t="s">
        <v>102</v>
      </c>
      <c r="G251" s="26" t="str" cm="1">
        <f t="array" ref="G251">IF($F251="Information Disclosure",Formatação!J$5,IF($F251="Repudiation",Formatação!J$4,IF($F251="Spoofing",Formatação!J$2,IF($F251="Tampering",Formatação!J$3, IF($F251="Denial of Service",Formatação!J$6,IF($F251="Elevation of Privilege",Formatação!J$7,IF($F251="Lateral Movement",Formatação!J$8,Errado)))))))</f>
        <v>Fraudes/Vazamento de dados</v>
      </c>
      <c r="H251" s="26" t="s">
        <v>271</v>
      </c>
      <c r="I251" s="17" t="s">
        <v>409</v>
      </c>
      <c r="J251" s="26" t="s">
        <v>413</v>
      </c>
      <c r="K251" s="17" t="s">
        <v>847</v>
      </c>
      <c r="L251" s="17" t="s">
        <v>847</v>
      </c>
      <c r="M251" s="17" t="s">
        <v>847</v>
      </c>
      <c r="N251" s="17" t="s">
        <v>847</v>
      </c>
      <c r="O251" s="17" t="s">
        <v>849</v>
      </c>
      <c r="P251" s="17" t="s">
        <v>848</v>
      </c>
      <c r="Q251" s="26" t="s">
        <v>848</v>
      </c>
      <c r="R251" s="17" t="s">
        <v>849</v>
      </c>
      <c r="S251" s="17" t="s">
        <v>849</v>
      </c>
      <c r="T251" s="17" t="s">
        <v>849</v>
      </c>
      <c r="U251" s="17" t="s">
        <v>849</v>
      </c>
      <c r="V251" s="17" t="s">
        <v>850</v>
      </c>
      <c r="W251" s="17">
        <f t="shared" si="12"/>
        <v>18</v>
      </c>
      <c r="X251" s="17" t="str">
        <f t="shared" si="13"/>
        <v>Alto</v>
      </c>
      <c r="Y251" s="26" t="s">
        <v>1704</v>
      </c>
      <c r="Z251" s="17" t="e" vm="1">
        <f>VLOOKUP(Tabela7[[#This Row],[Controle]],[1]!Tabela135[#Data],33,FALSE)</f>
        <v>#REF!</v>
      </c>
      <c r="AA251" s="17" t="e" vm="1">
        <f>VLOOKUP(Tabela7[[#This Row],[Controle]],[1]!Tabela135[#Data],34,FALSE)</f>
        <v>#REF!</v>
      </c>
      <c r="AB251" s="26" t="s">
        <v>856</v>
      </c>
      <c r="AC251" s="26"/>
      <c r="AD251" s="26"/>
      <c r="AE251" s="17"/>
    </row>
    <row r="252" spans="1:31" ht="35.25" customHeight="1">
      <c r="A252" s="21" t="s">
        <v>2534</v>
      </c>
      <c r="B252" s="53" t="s">
        <v>438</v>
      </c>
      <c r="C252" s="17" t="s">
        <v>713</v>
      </c>
      <c r="D252" s="17" t="s">
        <v>1049</v>
      </c>
      <c r="E252" s="17" t="str" cm="1">
        <f t="array" ref="E252">IF($F252="Information Disclosure",Formatação!H$5,IF($F252="Repudiation",Formatação!H$4,IF($F252="Spoofing",Formatação!H$2,IF($F252="Tampering",Formatação!H$3, IF($F252="Denial of Service",Formatação!H$6,IF($F252="Elevation of Privilege",Formatação!H$7,IF($F252="Lateral Movement",Formatação!H$8,Errado)))))))</f>
        <v>Autenticação</v>
      </c>
      <c r="F252" s="17" t="s">
        <v>102</v>
      </c>
      <c r="G252" s="17" t="str" cm="1">
        <f t="array" ref="G252">IF($F252="Information Disclosure",Formatação!J$5,IF($F252="Repudiation",Formatação!J$4,IF($F252="Spoofing",Formatação!J$2,IF($F252="Tampering",Formatação!J$3, IF($F252="Denial of Service",Formatação!J$6,IF($F252="Elevation of Privilege",Formatação!J$7,IF($F252="Lateral Movement",Formatação!J$8,Errado)))))))</f>
        <v>Fraudes/Vazamento de dados</v>
      </c>
      <c r="H252" s="17" t="s">
        <v>271</v>
      </c>
      <c r="I252" s="17" t="s">
        <v>409</v>
      </c>
      <c r="J252" s="17" t="s">
        <v>413</v>
      </c>
      <c r="K252" s="17" t="s">
        <v>847</v>
      </c>
      <c r="L252" s="17" t="s">
        <v>847</v>
      </c>
      <c r="M252" s="17" t="s">
        <v>847</v>
      </c>
      <c r="N252" s="17" t="s">
        <v>847</v>
      </c>
      <c r="O252" s="17" t="s">
        <v>849</v>
      </c>
      <c r="P252" s="17" t="s">
        <v>848</v>
      </c>
      <c r="Q252" s="17" t="s">
        <v>848</v>
      </c>
      <c r="R252" s="17" t="s">
        <v>849</v>
      </c>
      <c r="S252" s="17" t="s">
        <v>849</v>
      </c>
      <c r="T252" s="17" t="s">
        <v>849</v>
      </c>
      <c r="U252" s="17" t="s">
        <v>849</v>
      </c>
      <c r="V252" s="17" t="s">
        <v>848</v>
      </c>
      <c r="W252" s="17">
        <f t="shared" si="12"/>
        <v>19</v>
      </c>
      <c r="X252" s="17" t="str">
        <f t="shared" si="13"/>
        <v>Crítico</v>
      </c>
      <c r="Y252" s="17" t="s">
        <v>851</v>
      </c>
      <c r="Z252" s="17" t="e" vm="1">
        <f>VLOOKUP(Tabela7[[#This Row],[Controle]],[1]!Tabela135[#Data],33,FALSE)</f>
        <v>#REF!</v>
      </c>
      <c r="AA252" s="17" t="e" vm="1">
        <f>VLOOKUP(Tabela7[[#This Row],[Controle]],[1]!Tabela135[#Data],34,FALSE)</f>
        <v>#REF!</v>
      </c>
      <c r="AB252" s="17" t="s">
        <v>856</v>
      </c>
      <c r="AC252" s="17"/>
      <c r="AD252" s="17"/>
      <c r="AE252" s="17"/>
    </row>
    <row r="253" spans="1:31" ht="35.25" customHeight="1">
      <c r="A253" s="21" t="s">
        <v>2535</v>
      </c>
      <c r="B253" s="53" t="s">
        <v>440</v>
      </c>
      <c r="C253" s="17" t="s">
        <v>714</v>
      </c>
      <c r="D253" s="17" t="s">
        <v>1049</v>
      </c>
      <c r="E253" s="17" t="str" cm="1">
        <f t="array" ref="E253">IF($F253="Information Disclosure",Formatação!H$5,IF($F253="Repudiation",Formatação!H$4,IF($F253="Spoofing",Formatação!H$2,IF($F253="Tampering",Formatação!H$3, IF($F253="Denial of Service",Formatação!H$6,IF($F253="Elevation of Privilege",Formatação!H$7,IF($F253="Lateral Movement",Formatação!H$8,Errado)))))))</f>
        <v>Autenticação</v>
      </c>
      <c r="F253" s="17" t="s">
        <v>102</v>
      </c>
      <c r="G253" s="17" t="str" cm="1">
        <f t="array" ref="G253">IF($F253="Information Disclosure",Formatação!J$5,IF($F253="Repudiation",Formatação!J$4,IF($F253="Spoofing",Formatação!J$2,IF($F253="Tampering",Formatação!J$3, IF($F253="Denial of Service",Formatação!J$6,IF($F253="Elevation of Privilege",Formatação!J$7,IF($F253="Lateral Movement",Formatação!J$8,Errado)))))))</f>
        <v>Fraudes/Vazamento de dados</v>
      </c>
      <c r="H253" s="17" t="s">
        <v>271</v>
      </c>
      <c r="I253" s="17" t="s">
        <v>409</v>
      </c>
      <c r="J253" s="17" t="s">
        <v>413</v>
      </c>
      <c r="K253" s="17" t="s">
        <v>847</v>
      </c>
      <c r="L253" s="17" t="s">
        <v>847</v>
      </c>
      <c r="M253" s="17" t="s">
        <v>847</v>
      </c>
      <c r="N253" s="17" t="s">
        <v>847</v>
      </c>
      <c r="O253" s="17" t="s">
        <v>849</v>
      </c>
      <c r="P253" s="17" t="s">
        <v>848</v>
      </c>
      <c r="Q253" s="17" t="s">
        <v>848</v>
      </c>
      <c r="R253" s="17" t="s">
        <v>849</v>
      </c>
      <c r="S253" s="17" t="s">
        <v>849</v>
      </c>
      <c r="T253" s="17" t="s">
        <v>849</v>
      </c>
      <c r="U253" s="17" t="s">
        <v>849</v>
      </c>
      <c r="V253" s="17" t="s">
        <v>850</v>
      </c>
      <c r="W253" s="17">
        <f t="shared" si="12"/>
        <v>18</v>
      </c>
      <c r="X253" s="17" t="str">
        <f t="shared" si="13"/>
        <v>Alto</v>
      </c>
      <c r="Y253" s="17" t="s">
        <v>851</v>
      </c>
      <c r="Z253" s="17" t="e" vm="1">
        <f>VLOOKUP(Tabela7[[#This Row],[Controle]],[1]!Tabela135[#Data],33,FALSE)</f>
        <v>#REF!</v>
      </c>
      <c r="AA253" s="17" t="e" vm="1">
        <f>VLOOKUP(Tabela7[[#This Row],[Controle]],[1]!Tabela135[#Data],34,FALSE)</f>
        <v>#REF!</v>
      </c>
      <c r="AB253" s="17" t="s">
        <v>856</v>
      </c>
      <c r="AC253" s="17"/>
      <c r="AD253" s="17"/>
      <c r="AE253" s="17"/>
    </row>
    <row r="254" spans="1:31" ht="35.25" customHeight="1">
      <c r="A254" s="21" t="s">
        <v>2536</v>
      </c>
      <c r="B254" s="28" t="s">
        <v>442</v>
      </c>
      <c r="C254" s="17" t="s">
        <v>715</v>
      </c>
      <c r="D254" s="17" t="s">
        <v>1049</v>
      </c>
      <c r="E254" s="26" t="str" cm="1">
        <f t="array" ref="E254">IF($F254="Information Disclosure",Formatação!H$5,IF($F254="Repudiation",Formatação!H$4,IF($F254="Spoofing",Formatação!H$2,IF($F254="Tampering",Formatação!H$3, IF($F254="Denial of Service",Formatação!H$6,IF($F254="Elevation of Privilege",Formatação!H$7,IF($F254="Lateral Movement",Formatação!H$8,Errado)))))))</f>
        <v>Autenticação</v>
      </c>
      <c r="F254" s="26" t="s">
        <v>102</v>
      </c>
      <c r="G254" s="26" t="str" cm="1">
        <f t="array" ref="G254">IF($F254="Information Disclosure",Formatação!J$5,IF($F254="Repudiation",Formatação!J$4,IF($F254="Spoofing",Formatação!J$2,IF($F254="Tampering",Formatação!J$3, IF($F254="Denial of Service",Formatação!J$6,IF($F254="Elevation of Privilege",Formatação!J$7,IF($F254="Lateral Movement",Formatação!J$8,Errado)))))))</f>
        <v>Fraudes/Vazamento de dados</v>
      </c>
      <c r="H254" s="26" t="s">
        <v>271</v>
      </c>
      <c r="I254" s="26" t="s">
        <v>409</v>
      </c>
      <c r="J254" s="26" t="s">
        <v>413</v>
      </c>
      <c r="K254" s="17" t="s">
        <v>847</v>
      </c>
      <c r="L254" s="17" t="s">
        <v>847</v>
      </c>
      <c r="M254" s="17" t="s">
        <v>847</v>
      </c>
      <c r="N254" s="17" t="s">
        <v>847</v>
      </c>
      <c r="O254" s="17" t="s">
        <v>849</v>
      </c>
      <c r="P254" s="17" t="s">
        <v>848</v>
      </c>
      <c r="Q254" s="17" t="s">
        <v>848</v>
      </c>
      <c r="R254" s="17" t="s">
        <v>849</v>
      </c>
      <c r="S254" s="17" t="s">
        <v>849</v>
      </c>
      <c r="T254" s="17" t="s">
        <v>849</v>
      </c>
      <c r="U254" s="17" t="s">
        <v>849</v>
      </c>
      <c r="V254" s="17" t="s">
        <v>848</v>
      </c>
      <c r="W254" s="17">
        <f t="shared" si="12"/>
        <v>19</v>
      </c>
      <c r="X254" s="17" t="str">
        <f t="shared" si="13"/>
        <v>Crítico</v>
      </c>
      <c r="Y254" s="26" t="s">
        <v>851</v>
      </c>
      <c r="Z254" s="17" t="s">
        <v>2193</v>
      </c>
      <c r="AA254" s="17" t="s">
        <v>2423</v>
      </c>
      <c r="AB254" s="26" t="s">
        <v>856</v>
      </c>
      <c r="AC254" s="26"/>
      <c r="AD254" s="26"/>
      <c r="AE254" s="17"/>
    </row>
    <row r="255" spans="1:31" ht="35.25" customHeight="1">
      <c r="A255" s="21" t="s">
        <v>2537</v>
      </c>
      <c r="B255" s="53" t="s">
        <v>2538</v>
      </c>
      <c r="C255" s="17" t="s">
        <v>716</v>
      </c>
      <c r="D255" s="17" t="s">
        <v>1049</v>
      </c>
      <c r="E255" s="17" t="str" cm="1">
        <f t="array" ref="E255">IF($F255="Information Disclosure",Formatação!H$5,IF($F255="Repudiation",Formatação!H$4,IF($F255="Spoofing",Formatação!H$2,IF($F255="Tampering",Formatação!H$3, IF($F255="Denial of Service",Formatação!H$6,IF($F255="Elevation of Privilege",Formatação!H$7,IF($F255="Lateral Movement",Formatação!H$8,Errado)))))))</f>
        <v>Autenticação</v>
      </c>
      <c r="F255" s="17" t="s">
        <v>102</v>
      </c>
      <c r="G255" s="17" t="str" cm="1">
        <f t="array" ref="G255">IF($F255="Information Disclosure",Formatação!J$5,IF($F255="Repudiation",Formatação!J$4,IF($F255="Spoofing",Formatação!J$2,IF($F255="Tampering",Formatação!J$3, IF($F255="Denial of Service",Formatação!J$6,IF($F255="Elevation of Privilege",Formatação!J$7,IF($F255="Lateral Movement",Formatação!J$8,Errado)))))))</f>
        <v>Fraudes/Vazamento de dados</v>
      </c>
      <c r="H255" s="17" t="s">
        <v>271</v>
      </c>
      <c r="I255" s="17" t="s">
        <v>409</v>
      </c>
      <c r="J255" s="17" t="s">
        <v>413</v>
      </c>
      <c r="K255" s="17" t="s">
        <v>847</v>
      </c>
      <c r="L255" s="17" t="s">
        <v>847</v>
      </c>
      <c r="M255" s="17" t="s">
        <v>847</v>
      </c>
      <c r="N255" s="17" t="s">
        <v>847</v>
      </c>
      <c r="O255" s="17" t="s">
        <v>849</v>
      </c>
      <c r="P255" s="17" t="s">
        <v>848</v>
      </c>
      <c r="Q255" s="17" t="s">
        <v>848</v>
      </c>
      <c r="R255" s="17" t="s">
        <v>849</v>
      </c>
      <c r="S255" s="17" t="s">
        <v>849</v>
      </c>
      <c r="T255" s="17" t="s">
        <v>849</v>
      </c>
      <c r="U255" s="17" t="s">
        <v>849</v>
      </c>
      <c r="V255" s="17" t="s">
        <v>848</v>
      </c>
      <c r="W255" s="17">
        <f t="shared" si="12"/>
        <v>19</v>
      </c>
      <c r="X255" s="17" t="str">
        <f t="shared" si="13"/>
        <v>Crítico</v>
      </c>
      <c r="Y255" s="17" t="s">
        <v>851</v>
      </c>
      <c r="Z255" s="17" t="e" vm="1">
        <f>VLOOKUP(Tabela7[[#This Row],[Controle]],[1]!Tabela135[#Data],33,FALSE)</f>
        <v>#REF!</v>
      </c>
      <c r="AA255" s="17" t="e" vm="1">
        <f>VLOOKUP(Tabela7[[#This Row],[Controle]],[1]!Tabela135[#Data],34,FALSE)</f>
        <v>#REF!</v>
      </c>
      <c r="AB255" s="17" t="s">
        <v>856</v>
      </c>
      <c r="AC255" s="17"/>
      <c r="AD255" s="17"/>
      <c r="AE255" s="17"/>
    </row>
    <row r="256" spans="1:31" ht="35.25" customHeight="1">
      <c r="A256" s="21" t="s">
        <v>2539</v>
      </c>
      <c r="B256" s="28" t="s">
        <v>2540</v>
      </c>
      <c r="C256" s="17" t="s">
        <v>718</v>
      </c>
      <c r="D256" s="17" t="s">
        <v>1049</v>
      </c>
      <c r="E256" s="26" t="str" cm="1">
        <f t="array" ref="E256">IF($F256="Information Disclosure",Formatação!H$5,IF($F256="Repudiation",Formatação!H$4,IF($F256="Spoofing",Formatação!H$2,IF($F256="Tampering",Formatação!H$3, IF($F256="Denial of Service",Formatação!H$6,IF($F256="Elevation of Privilege",Formatação!H$7,IF($F256="Lateral Movement",Formatação!H$8,Errado)))))))</f>
        <v>Confidencialidade</v>
      </c>
      <c r="F256" s="26" t="s">
        <v>67</v>
      </c>
      <c r="G256" s="26" t="str" cm="1">
        <f t="array" ref="G256">IF($F256="Information Disclosure",Formatação!J$5,IF($F256="Repudiation",Formatação!J$4,IF($F256="Spoofing",Formatação!J$2,IF($F256="Tampering",Formatação!J$3, IF($F256="Denial of Service",Formatação!J$6,IF($F256="Elevation of Privilege",Formatação!J$7,IF($F256="Lateral Movement",Formatação!J$8,Errado)))))))</f>
        <v>Vazamento de dados</v>
      </c>
      <c r="H256" s="26" t="s">
        <v>29</v>
      </c>
      <c r="I256" s="26" t="s">
        <v>425</v>
      </c>
      <c r="J256" s="26" t="s">
        <v>413</v>
      </c>
      <c r="K256" s="17" t="s">
        <v>847</v>
      </c>
      <c r="L256" s="17" t="s">
        <v>847</v>
      </c>
      <c r="M256" s="17" t="s">
        <v>847</v>
      </c>
      <c r="N256" s="17" t="s">
        <v>847</v>
      </c>
      <c r="O256" s="17" t="s">
        <v>849</v>
      </c>
      <c r="P256" s="17" t="s">
        <v>849</v>
      </c>
      <c r="Q256" s="17" t="s">
        <v>848</v>
      </c>
      <c r="R256" s="17" t="s">
        <v>849</v>
      </c>
      <c r="S256" s="17" t="s">
        <v>849</v>
      </c>
      <c r="T256" s="17" t="s">
        <v>849</v>
      </c>
      <c r="U256" s="17" t="s">
        <v>849</v>
      </c>
      <c r="V256" s="17" t="s">
        <v>848</v>
      </c>
      <c r="W256" s="17">
        <f t="shared" si="12"/>
        <v>18</v>
      </c>
      <c r="X256" s="17" t="str">
        <f t="shared" si="13"/>
        <v>Alto</v>
      </c>
      <c r="Y256" s="26" t="s">
        <v>851</v>
      </c>
      <c r="Z256" s="17" t="e" vm="1">
        <f>VLOOKUP(Tabela7[[#This Row],[Controle]],[1]!Tabela135[#Data],33,FALSE)</f>
        <v>#REF!</v>
      </c>
      <c r="AA256" s="17" t="e" vm="1">
        <f>VLOOKUP(Tabela7[[#This Row],[Controle]],[1]!Tabela135[#Data],34,FALSE)</f>
        <v>#REF!</v>
      </c>
      <c r="AB256" s="26" t="s">
        <v>856</v>
      </c>
      <c r="AC256" s="26"/>
      <c r="AD256" s="26"/>
      <c r="AE256" s="17"/>
    </row>
    <row r="257" spans="1:31" ht="35.25" customHeight="1">
      <c r="A257" s="21" t="s">
        <v>2541</v>
      </c>
      <c r="B257" s="53" t="s">
        <v>1057</v>
      </c>
      <c r="C257" s="17" t="s">
        <v>1058</v>
      </c>
      <c r="D257" s="17" t="s">
        <v>1049</v>
      </c>
      <c r="E257" s="26" t="str" cm="1">
        <f t="array" ref="E257">IF($F257="Information Disclosure",Formatação!H$5,IF($F257="Repudiation",Formatação!H$4,IF($F257="Spoofing",Formatação!H$2,IF($F257="Tampering",Formatação!H$3, IF($F257="Denial of Service",Formatação!H$6,IF($F257="Elevation of Privilege",Formatação!H$7,IF($F257="Lateral Movement",Formatação!H$8,Errado)))))))</f>
        <v>Autorização</v>
      </c>
      <c r="F257" s="17" t="s">
        <v>22</v>
      </c>
      <c r="G257" s="17" t="str" cm="1">
        <f t="array" ref="G257">IF($F257="Information Disclosure",Formatação!J$5,IF($F257="Repudiation",Formatação!J$4,IF($F257="Spoofing",Formatação!J$2,IF($F257="Tampering",Formatação!J$3, IF($F257="Denial of Service",Formatação!J$6,IF($F257="Elevation of Privilege",Formatação!J$7,IF($F257="Lateral Movement",Formatação!J$8,Errado)))))))</f>
        <v>Danos financeiros/Vazamento de dados</v>
      </c>
      <c r="H257" s="17" t="s">
        <v>23</v>
      </c>
      <c r="I257" s="17" t="s">
        <v>425</v>
      </c>
      <c r="J257" s="17" t="s">
        <v>413</v>
      </c>
      <c r="K257" s="17" t="s">
        <v>847</v>
      </c>
      <c r="L257" s="17" t="s">
        <v>847</v>
      </c>
      <c r="M257" s="17" t="s">
        <v>847</v>
      </c>
      <c r="N257" s="17" t="s">
        <v>847</v>
      </c>
      <c r="O257" s="17" t="s">
        <v>849</v>
      </c>
      <c r="P257" s="17" t="s">
        <v>848</v>
      </c>
      <c r="Q257" s="17" t="s">
        <v>848</v>
      </c>
      <c r="R257" s="17" t="s">
        <v>849</v>
      </c>
      <c r="S257" s="17" t="s">
        <v>849</v>
      </c>
      <c r="T257" s="17" t="s">
        <v>849</v>
      </c>
      <c r="U257" s="17" t="s">
        <v>849</v>
      </c>
      <c r="V257" s="17" t="s">
        <v>850</v>
      </c>
      <c r="W257" s="17">
        <f t="shared" si="12"/>
        <v>18</v>
      </c>
      <c r="X257" s="17" t="str">
        <f t="shared" si="13"/>
        <v>Alto</v>
      </c>
      <c r="Y257" s="17" t="s">
        <v>851</v>
      </c>
      <c r="Z257" s="17" t="s">
        <v>2193</v>
      </c>
      <c r="AA257" s="17" t="s">
        <v>2542</v>
      </c>
      <c r="AB257" s="17" t="s">
        <v>856</v>
      </c>
      <c r="AC257" s="17"/>
      <c r="AD257" s="17"/>
      <c r="AE257" s="77" t="s">
        <v>16</v>
      </c>
    </row>
    <row r="258" spans="1:31" ht="35.25" customHeight="1">
      <c r="A258" s="21" t="s">
        <v>2543</v>
      </c>
      <c r="B258" s="53" t="s">
        <v>2544</v>
      </c>
      <c r="C258" s="17" t="s">
        <v>803</v>
      </c>
      <c r="D258" s="17" t="s">
        <v>55</v>
      </c>
      <c r="E258" s="26" t="str" cm="1">
        <f t="array" ref="E258">IF($F258="Information Disclosure",Formatação!H$5,IF($F258="Repudiation",Formatação!H$4,IF($F258="Spoofing",Formatação!H$2,IF($F258="Tampering",Formatação!H$3, IF($F258="Denial of Service",Formatação!H$6,IF($F258="Elevation of Privilege",Formatação!H$7,IF($F258="Lateral Movement",Formatação!H$8,Errado)))))))</f>
        <v>Autenticação</v>
      </c>
      <c r="F258" s="17" t="s">
        <v>102</v>
      </c>
      <c r="G258" s="17" t="str" cm="1">
        <f t="array" ref="G258">IF($F258="Information Disclosure",Formatação!J$5,IF($F258="Repudiation",Formatação!J$4,IF($F258="Spoofing",Formatação!J$2,IF($F258="Tampering",Formatação!J$3, IF($F258="Denial of Service",Formatação!J$6,IF($F258="Elevation of Privilege",Formatação!J$7,IF($F258="Lateral Movement",Formatação!J$8,Errado)))))))</f>
        <v>Fraudes/Vazamento de dados</v>
      </c>
      <c r="H258" s="17" t="s">
        <v>271</v>
      </c>
      <c r="I258" s="17" t="s">
        <v>231</v>
      </c>
      <c r="J258" s="17" t="s">
        <v>1245</v>
      </c>
      <c r="K258" s="17" t="s">
        <v>847</v>
      </c>
      <c r="L258" s="17" t="s">
        <v>847</v>
      </c>
      <c r="M258" s="17" t="s">
        <v>1293</v>
      </c>
      <c r="N258" s="17" t="s">
        <v>1293</v>
      </c>
      <c r="O258" s="17" t="s">
        <v>849</v>
      </c>
      <c r="P258" s="17" t="s">
        <v>848</v>
      </c>
      <c r="Q258" s="17" t="s">
        <v>848</v>
      </c>
      <c r="R258" s="17" t="s">
        <v>848</v>
      </c>
      <c r="S258" s="17" t="s">
        <v>848</v>
      </c>
      <c r="T258" s="17" t="s">
        <v>848</v>
      </c>
      <c r="U258" s="17" t="s">
        <v>848</v>
      </c>
      <c r="V258" s="17" t="s">
        <v>848</v>
      </c>
      <c r="W258" s="17">
        <f t="shared" si="12"/>
        <v>23</v>
      </c>
      <c r="X258" s="17" t="str">
        <f t="shared" si="13"/>
        <v>Crítico</v>
      </c>
      <c r="Y258" s="17" t="s">
        <v>851</v>
      </c>
      <c r="Z258" s="17" t="s">
        <v>2248</v>
      </c>
      <c r="AA258" s="17" t="s">
        <v>2545</v>
      </c>
      <c r="AB258" s="17" t="s">
        <v>856</v>
      </c>
      <c r="AC258" s="17"/>
      <c r="AD258" s="17"/>
      <c r="AE258" s="17"/>
    </row>
    <row r="259" spans="1:31" ht="35.25" customHeight="1">
      <c r="A259" s="21" t="s">
        <v>2546</v>
      </c>
      <c r="B259" s="53" t="s">
        <v>2547</v>
      </c>
      <c r="C259" s="17" t="s">
        <v>805</v>
      </c>
      <c r="D259" s="17" t="s">
        <v>55</v>
      </c>
      <c r="E259" s="26" t="str" cm="1">
        <f t="array" ref="E259">IF($F259="Information Disclosure",Formatação!H$5,IF($F259="Repudiation",Formatação!H$4,IF($F259="Spoofing",Formatação!H$2,IF($F259="Tampering",Formatação!H$3, IF($F259="Denial of Service",Formatação!H$6,IF($F259="Elevation of Privilege",Formatação!H$7,IF($F259="Lateral Movement",Formatação!H$8,Errado)))))))</f>
        <v>Confidencialidade</v>
      </c>
      <c r="F259" s="17" t="s">
        <v>35</v>
      </c>
      <c r="G259" s="17" t="str" cm="1">
        <f t="array" ref="G259">IF($F259="Information Disclosure",Formatação!J$5,IF($F259="Repudiation",Formatação!J$4,IF($F259="Spoofing",Formatação!J$2,IF($F259="Tampering",Formatação!J$3, IF($F259="Denial of Service",Formatação!J$6,IF($F259="Elevation of Privilege",Formatação!J$7,IF($F259="Lateral Movement",Formatação!J$8,Errado)))))))</f>
        <v>Vazamento de dados</v>
      </c>
      <c r="H259" s="17" t="s">
        <v>29</v>
      </c>
      <c r="I259" s="17" t="s">
        <v>231</v>
      </c>
      <c r="J259" s="17" t="s">
        <v>1178</v>
      </c>
      <c r="K259" s="17" t="s">
        <v>847</v>
      </c>
      <c r="L259" s="17" t="s">
        <v>847</v>
      </c>
      <c r="M259" s="17" t="s">
        <v>1293</v>
      </c>
      <c r="N259" s="17" t="s">
        <v>1293</v>
      </c>
      <c r="O259" s="17" t="s">
        <v>1614</v>
      </c>
      <c r="P259" s="17" t="s">
        <v>849</v>
      </c>
      <c r="Q259" s="17" t="s">
        <v>848</v>
      </c>
      <c r="R259" s="17" t="s">
        <v>848</v>
      </c>
      <c r="S259" s="17" t="s">
        <v>848</v>
      </c>
      <c r="T259" s="17" t="s">
        <v>848</v>
      </c>
      <c r="U259" s="17" t="s">
        <v>848</v>
      </c>
      <c r="V259" s="17" t="s">
        <v>850</v>
      </c>
      <c r="W259" s="17">
        <f t="shared" si="12"/>
        <v>19</v>
      </c>
      <c r="X259" s="17" t="str">
        <f t="shared" si="13"/>
        <v>Crítico</v>
      </c>
      <c r="Y259" s="17" t="s">
        <v>851</v>
      </c>
      <c r="Z259" s="17" t="s">
        <v>2548</v>
      </c>
      <c r="AA259" s="17" t="s">
        <v>2549</v>
      </c>
      <c r="AB259" s="17" t="s">
        <v>952</v>
      </c>
      <c r="AC259" s="17"/>
      <c r="AD259" s="17"/>
      <c r="AE259" s="17"/>
    </row>
    <row r="260" spans="1:31" ht="35.25" customHeight="1">
      <c r="A260" s="21" t="s">
        <v>2550</v>
      </c>
      <c r="B260" s="53" t="s">
        <v>72</v>
      </c>
      <c r="C260" s="17" t="s">
        <v>806</v>
      </c>
      <c r="D260" s="17" t="s">
        <v>55</v>
      </c>
      <c r="E260" s="26" t="str" cm="1">
        <f t="array" ref="E260">IF($F260="Information Disclosure",Formatação!H$5,IF($F260="Repudiation",Formatação!H$4,IF($F260="Spoofing",Formatação!H$2,IF($F260="Tampering",Formatação!H$3, IF($F260="Denial of Service",Formatação!H$6,IF($F260="Elevation of Privilege",Formatação!H$7,IF($F260="Lateral Movement",Formatação!H$8,Errado)))))))</f>
        <v>Não repúdio</v>
      </c>
      <c r="F260" s="17" t="s">
        <v>32</v>
      </c>
      <c r="G260" s="17" t="str" cm="1">
        <f t="array" ref="G260">IF($F260="Information Disclosure",Formatação!J$5,IF($F260="Repudiation",Formatação!J$4,IF($F260="Spoofing",Formatação!J$2,IF($F260="Tampering",Formatação!J$3, IF($F260="Denial of Service",Formatação!J$6,IF($F260="Elevation of Privilege",Formatação!J$7,IF($F260="Lateral Movement",Formatação!J$8,Errado)))))))</f>
        <v>Regulatório/Compliance</v>
      </c>
      <c r="H260" s="17" t="s">
        <v>33</v>
      </c>
      <c r="I260" s="17" t="s">
        <v>231</v>
      </c>
      <c r="J260" s="17" t="s">
        <v>1178</v>
      </c>
      <c r="K260" s="17" t="s">
        <v>847</v>
      </c>
      <c r="L260" s="17" t="s">
        <v>847</v>
      </c>
      <c r="M260" s="17" t="s">
        <v>1293</v>
      </c>
      <c r="N260" s="17" t="s">
        <v>1293</v>
      </c>
      <c r="O260" s="17" t="s">
        <v>1614</v>
      </c>
      <c r="P260" s="17" t="s">
        <v>849</v>
      </c>
      <c r="Q260" s="17" t="s">
        <v>849</v>
      </c>
      <c r="R260" s="17" t="s">
        <v>849</v>
      </c>
      <c r="S260" s="17" t="s">
        <v>849</v>
      </c>
      <c r="T260" s="17" t="s">
        <v>849</v>
      </c>
      <c r="U260" s="17" t="s">
        <v>849</v>
      </c>
      <c r="V260" s="17" t="s">
        <v>850</v>
      </c>
      <c r="W260" s="17">
        <f t="shared" si="12"/>
        <v>14</v>
      </c>
      <c r="X260" s="17" t="str">
        <f t="shared" si="13"/>
        <v>Moderado</v>
      </c>
      <c r="Y260" s="17" t="s">
        <v>1704</v>
      </c>
      <c r="Z260" s="17" t="s">
        <v>2551</v>
      </c>
      <c r="AA260" s="17" t="s">
        <v>2470</v>
      </c>
      <c r="AB260" s="17" t="s">
        <v>987</v>
      </c>
      <c r="AC260" s="17"/>
      <c r="AD260" s="17"/>
      <c r="AE260" s="17"/>
    </row>
    <row r="261" spans="1:31" ht="35.25" customHeight="1">
      <c r="A261" s="21" t="s">
        <v>2552</v>
      </c>
      <c r="B261" s="53" t="s">
        <v>1249</v>
      </c>
      <c r="C261" s="17" t="s">
        <v>808</v>
      </c>
      <c r="D261" s="17" t="s">
        <v>55</v>
      </c>
      <c r="E261" s="26" t="str" cm="1">
        <f t="array" ref="E261">IF($F261="Information Disclosure",Formatação!H$5,IF($F261="Repudiation",Formatação!H$4,IF($F261="Spoofing",Formatação!H$2,IF($F261="Tampering",Formatação!H$3, IF($F261="Denial of Service",Formatação!H$6,IF($F261="Elevation of Privilege",Formatação!H$7,IF($F261="Lateral Movement",Formatação!H$8,Errado)))))))</f>
        <v>Autenticação</v>
      </c>
      <c r="F261" s="17" t="s">
        <v>102</v>
      </c>
      <c r="G261" s="17" t="str" cm="1">
        <f t="array" ref="G261">IF($F261="Information Disclosure",Formatação!J$5,IF($F261="Repudiation",Formatação!J$4,IF($F261="Spoofing",Formatação!J$2,IF($F261="Tampering",Formatação!J$3, IF($F261="Denial of Service",Formatação!J$6,IF($F261="Elevation of Privilege",Formatação!J$7,IF($F261="Lateral Movement",Formatação!J$8,Errado)))))))</f>
        <v>Fraudes/Vazamento de dados</v>
      </c>
      <c r="H261" s="17" t="s">
        <v>23</v>
      </c>
      <c r="I261" s="17" t="s">
        <v>231</v>
      </c>
      <c r="J261" s="17" t="s">
        <v>1178</v>
      </c>
      <c r="K261" s="17" t="s">
        <v>847</v>
      </c>
      <c r="L261" s="17" t="s">
        <v>847</v>
      </c>
      <c r="M261" s="17" t="s">
        <v>1293</v>
      </c>
      <c r="N261" s="17" t="s">
        <v>1293</v>
      </c>
      <c r="O261" s="17" t="s">
        <v>849</v>
      </c>
      <c r="P261" s="17" t="s">
        <v>848</v>
      </c>
      <c r="Q261" s="17" t="s">
        <v>848</v>
      </c>
      <c r="R261" s="17" t="s">
        <v>849</v>
      </c>
      <c r="S261" s="17" t="s">
        <v>849</v>
      </c>
      <c r="T261" s="17" t="s">
        <v>849</v>
      </c>
      <c r="U261" s="17" t="s">
        <v>849</v>
      </c>
      <c r="V261" s="17" t="s">
        <v>850</v>
      </c>
      <c r="W261" s="17">
        <f t="shared" si="12"/>
        <v>18</v>
      </c>
      <c r="X261" s="17" t="str">
        <f t="shared" si="13"/>
        <v>Alto</v>
      </c>
      <c r="Y261" s="17" t="s">
        <v>851</v>
      </c>
      <c r="Z261" s="17" t="e" vm="1">
        <f>VLOOKUP(Tabela7[[#This Row],[Controle]],[1]!Tabela135[#Data],33,FALSE)</f>
        <v>#REF!</v>
      </c>
      <c r="AA261" s="17" t="e" vm="1">
        <f>VLOOKUP(Tabela7[[#This Row],[Controle]],[1]!Tabela135[#Data],34,FALSE)</f>
        <v>#REF!</v>
      </c>
      <c r="AB261" s="17" t="s">
        <v>856</v>
      </c>
      <c r="AC261" s="17"/>
      <c r="AD261" s="17"/>
      <c r="AE261" s="17"/>
    </row>
    <row r="262" spans="1:31" ht="35.25" customHeight="1">
      <c r="A262" s="21" t="s">
        <v>2553</v>
      </c>
      <c r="B262" s="53" t="s">
        <v>1251</v>
      </c>
      <c r="C262" s="17" t="s">
        <v>810</v>
      </c>
      <c r="D262" s="17" t="s">
        <v>55</v>
      </c>
      <c r="E262" s="26" t="str" cm="1">
        <f t="array" ref="E262">IF($F262="Information Disclosure",Formatação!H$5,IF($F262="Repudiation",Formatação!H$4,IF($F262="Spoofing",Formatação!H$2,IF($F262="Tampering",Formatação!H$3, IF($F262="Denial of Service",Formatação!H$6,IF($F262="Elevation of Privilege",Formatação!H$7,IF($F262="Lateral Movement",Formatação!H$8,Errado)))))))</f>
        <v>Contenção</v>
      </c>
      <c r="F262" s="17" t="s">
        <v>20</v>
      </c>
      <c r="G262" s="17" t="str" cm="1">
        <f t="array" ref="G262">IF($F262="Information Disclosure",Formatação!J$5,IF($F262="Repudiation",Formatação!J$4,IF($F262="Spoofing",Formatação!J$2,IF($F262="Tampering",Formatação!J$3, IF($F262="Denial of Service",Formatação!J$6,IF($F262="Elevation of Privilege",Formatação!J$7,IF($F262="Lateral Movement",Formatação!J$8,Errado)))))))</f>
        <v>Vazamento de dados</v>
      </c>
      <c r="H262" s="17" t="s">
        <v>14</v>
      </c>
      <c r="I262" s="17" t="s">
        <v>231</v>
      </c>
      <c r="J262" s="17" t="s">
        <v>1178</v>
      </c>
      <c r="K262" s="17" t="s">
        <v>847</v>
      </c>
      <c r="L262" s="17" t="s">
        <v>847</v>
      </c>
      <c r="M262" s="17" t="s">
        <v>1293</v>
      </c>
      <c r="N262" s="17" t="s">
        <v>1293</v>
      </c>
      <c r="O262" s="17" t="s">
        <v>849</v>
      </c>
      <c r="P262" s="17" t="s">
        <v>849</v>
      </c>
      <c r="Q262" s="17" t="s">
        <v>848</v>
      </c>
      <c r="R262" s="17" t="s">
        <v>849</v>
      </c>
      <c r="S262" s="17" t="s">
        <v>849</v>
      </c>
      <c r="T262" s="17" t="s">
        <v>849</v>
      </c>
      <c r="U262" s="17" t="s">
        <v>849</v>
      </c>
      <c r="V262" s="17" t="s">
        <v>850</v>
      </c>
      <c r="W262" s="17">
        <f t="shared" si="12"/>
        <v>17</v>
      </c>
      <c r="X262" s="17" t="str">
        <f t="shared" si="13"/>
        <v>Alto</v>
      </c>
      <c r="Y262" s="17" t="s">
        <v>851</v>
      </c>
      <c r="Z262" s="17" t="s">
        <v>2508</v>
      </c>
      <c r="AA262" s="17" t="s">
        <v>2509</v>
      </c>
      <c r="AB262" s="17" t="s">
        <v>854</v>
      </c>
      <c r="AC262" s="17"/>
      <c r="AD262" s="17"/>
      <c r="AE262" s="17"/>
    </row>
    <row r="263" spans="1:31" ht="35.25" customHeight="1">
      <c r="A263" s="21" t="s">
        <v>2554</v>
      </c>
      <c r="B263" s="53" t="s">
        <v>92</v>
      </c>
      <c r="C263" s="17" t="s">
        <v>812</v>
      </c>
      <c r="D263" s="17" t="s">
        <v>55</v>
      </c>
      <c r="E263" s="26" t="str" cm="1">
        <f t="array" ref="E263">IF($F263="Information Disclosure",Formatação!H$5,IF($F263="Repudiation",Formatação!H$4,IF($F263="Spoofing",Formatação!H$2,IF($F263="Tampering",Formatação!H$3, IF($F263="Denial of Service",Formatação!H$6,IF($F263="Elevation of Privilege",Formatação!H$7,IF($F263="Lateral Movement",Formatação!H$8,Errado)))))))</f>
        <v>Autenticação</v>
      </c>
      <c r="F263" s="17" t="s">
        <v>102</v>
      </c>
      <c r="G263" s="17" t="str" cm="1">
        <f t="array" ref="G263">IF($F263="Information Disclosure",Formatação!J$5,IF($F263="Repudiation",Formatação!J$4,IF($F263="Spoofing",Formatação!J$2,IF($F263="Tampering",Formatação!J$3, IF($F263="Denial of Service",Formatação!J$6,IF($F263="Elevation of Privilege",Formatação!J$7,IF($F263="Lateral Movement",Formatação!J$8,Errado)))))))</f>
        <v>Fraudes/Vazamento de dados</v>
      </c>
      <c r="H263" s="17" t="s">
        <v>320</v>
      </c>
      <c r="I263" s="17" t="s">
        <v>231</v>
      </c>
      <c r="J263" s="17" t="s">
        <v>1178</v>
      </c>
      <c r="K263" s="17" t="s">
        <v>847</v>
      </c>
      <c r="L263" s="17" t="s">
        <v>847</v>
      </c>
      <c r="M263" s="17" t="s">
        <v>1293</v>
      </c>
      <c r="N263" s="17" t="s">
        <v>1293</v>
      </c>
      <c r="O263" s="17" t="s">
        <v>849</v>
      </c>
      <c r="P263" s="17" t="s">
        <v>848</v>
      </c>
      <c r="Q263" s="17" t="s">
        <v>848</v>
      </c>
      <c r="R263" s="17" t="s">
        <v>849</v>
      </c>
      <c r="S263" s="17" t="s">
        <v>849</v>
      </c>
      <c r="T263" s="17" t="s">
        <v>849</v>
      </c>
      <c r="U263" s="17" t="s">
        <v>849</v>
      </c>
      <c r="V263" s="17" t="s">
        <v>850</v>
      </c>
      <c r="W263" s="17">
        <f t="shared" si="12"/>
        <v>18</v>
      </c>
      <c r="X263" s="17" t="str">
        <f t="shared" si="13"/>
        <v>Alto</v>
      </c>
      <c r="Y263" s="17" t="s">
        <v>2330</v>
      </c>
      <c r="Z263" s="17" t="e" vm="1">
        <f>VLOOKUP(Tabela7[[#This Row],[Controle]],[1]!Tabela135[#Data],33,FALSE)</f>
        <v>#REF!</v>
      </c>
      <c r="AA263" s="17" t="e" vm="1">
        <f>VLOOKUP(Tabela7[[#This Row],[Controle]],[1]!Tabela135[#Data],34,FALSE)</f>
        <v>#REF!</v>
      </c>
      <c r="AB263" s="17" t="s">
        <v>966</v>
      </c>
      <c r="AC263" s="17"/>
      <c r="AD263" s="17"/>
      <c r="AE263" s="17"/>
    </row>
    <row r="264" spans="1:31" ht="35.25" customHeight="1">
      <c r="A264" s="21" t="s">
        <v>2555</v>
      </c>
      <c r="B264" s="53" t="s">
        <v>1254</v>
      </c>
      <c r="C264" s="17" t="s">
        <v>814</v>
      </c>
      <c r="D264" s="17" t="s">
        <v>55</v>
      </c>
      <c r="E264" s="26" t="str" cm="1">
        <f t="array" ref="E264">IF($F264="Information Disclosure",Formatação!H$5,IF($F264="Repudiation",Formatação!H$4,IF($F264="Spoofing",Formatação!H$2,IF($F264="Tampering",Formatação!H$3, IF($F264="Denial of Service",Formatação!H$6,IF($F264="Elevation of Privilege",Formatação!H$7,IF($F264="Lateral Movement",Formatação!H$8,Errado)))))))</f>
        <v>Autorização</v>
      </c>
      <c r="F264" s="17" t="s">
        <v>22</v>
      </c>
      <c r="G264" s="17" t="str" cm="1">
        <f t="array" ref="G264">IF($F264="Information Disclosure",Formatação!J$5,IF($F264="Repudiation",Formatação!J$4,IF($F264="Spoofing",Formatação!J$2,IF($F264="Tampering",Formatação!J$3, IF($F264="Denial of Service",Formatação!J$6,IF($F264="Elevation of Privilege",Formatação!J$7,IF($F264="Lateral Movement",Formatação!J$8,Errado)))))))</f>
        <v>Danos financeiros/Vazamento de dados</v>
      </c>
      <c r="H264" s="17" t="s">
        <v>23</v>
      </c>
      <c r="I264" s="17" t="s">
        <v>231</v>
      </c>
      <c r="J264" s="17" t="s">
        <v>1178</v>
      </c>
      <c r="K264" s="17" t="s">
        <v>847</v>
      </c>
      <c r="L264" s="17" t="s">
        <v>847</v>
      </c>
      <c r="M264" s="17" t="s">
        <v>1293</v>
      </c>
      <c r="N264" s="17" t="s">
        <v>1293</v>
      </c>
      <c r="O264" s="17" t="s">
        <v>1614</v>
      </c>
      <c r="P264" s="17" t="s">
        <v>849</v>
      </c>
      <c r="Q264" s="17" t="s">
        <v>848</v>
      </c>
      <c r="R264" s="17" t="s">
        <v>849</v>
      </c>
      <c r="S264" s="17" t="s">
        <v>849</v>
      </c>
      <c r="T264" s="17" t="s">
        <v>849</v>
      </c>
      <c r="U264" s="17" t="s">
        <v>849</v>
      </c>
      <c r="V264" s="17" t="s">
        <v>850</v>
      </c>
      <c r="W264" s="17">
        <f t="shared" ref="W264:W288" si="14">SUM(
  IF($O264 = "Impacto direto", 3, IF($O264 = "Impacto indireto", 2, 0)),
  IF($P264 = "Impacto direto", 3, IF($P264 = "Impacto indireto", 2, 0)),
  IF($Q264 = "Impacto direto", 3, IF($Q264 = "Impacto indireto", 2, 0)),
  IF($R264 = "Impacto direto", 3, IF($R264 = "Impacto indireto", 2, 0)),
  IF($S264 = "Impacto direto", 3, IF($S264 = "Impacto indireto", 2, 0)),
  IF($T264 = "Impacto direto", 3, IF($T264 = "Impacto indireto", 2, 0)),
  IF($U264 = "Impacto direto", 3, IF($U264 = "Impacto indireto", 2, 0)),
  IF($V264 = "Impacto direto", 3, IF($V264 = "Impacto indireto", 2, 0))
)</f>
        <v>15</v>
      </c>
      <c r="X264" s="17" t="str">
        <f t="shared" ref="X264:X288" si="15">IF($W264&lt;=5, "Leve", IF($W264&lt;=8, "Baixo", IF($W264&lt;=14, "Moderado", IF($W264&lt;=18, "Alto", IF($W264&lt;=24, "Crítico", "ERRO")))))</f>
        <v>Alto</v>
      </c>
      <c r="Y264" s="17" t="s">
        <v>851</v>
      </c>
      <c r="Z264" s="17" t="s">
        <v>2248</v>
      </c>
      <c r="AA264" s="17" t="s">
        <v>2545</v>
      </c>
      <c r="AB264" s="17" t="s">
        <v>856</v>
      </c>
      <c r="AC264" s="17"/>
      <c r="AD264" s="17"/>
      <c r="AE264" s="17"/>
    </row>
    <row r="265" spans="1:31" ht="35.25" customHeight="1">
      <c r="A265" s="21" t="s">
        <v>2556</v>
      </c>
      <c r="B265" s="53" t="s">
        <v>323</v>
      </c>
      <c r="C265" s="17" t="s">
        <v>816</v>
      </c>
      <c r="D265" s="17" t="s">
        <v>55</v>
      </c>
      <c r="E265" s="26" t="str" cm="1">
        <f t="array" ref="E265">IF($F265="Information Disclosure",Formatação!H$5,IF($F265="Repudiation",Formatação!H$4,IF($F265="Spoofing",Formatação!H$2,IF($F265="Tampering",Formatação!H$3, IF($F265="Denial of Service",Formatação!H$6,IF($F265="Elevation of Privilege",Formatação!H$7,IF($F265="Lateral Movement",Formatação!H$8,Errado)))))))</f>
        <v>Confidencialidade</v>
      </c>
      <c r="F265" s="17" t="s">
        <v>35</v>
      </c>
      <c r="G265" s="17" t="str" cm="1">
        <f t="array" ref="G265">IF($F265="Information Disclosure",Formatação!J$5,IF($F265="Repudiation",Formatação!J$4,IF($F265="Spoofing",Formatação!J$2,IF($F265="Tampering",Formatação!J$3, IF($F265="Denial of Service",Formatação!J$6,IF($F265="Elevation of Privilege",Formatação!J$7,IF($F265="Lateral Movement",Formatação!J$8,Errado)))))))</f>
        <v>Vazamento de dados</v>
      </c>
      <c r="H265" s="17" t="s">
        <v>26</v>
      </c>
      <c r="I265" s="17" t="s">
        <v>231</v>
      </c>
      <c r="J265" s="17" t="s">
        <v>1178</v>
      </c>
      <c r="K265" s="17" t="s">
        <v>847</v>
      </c>
      <c r="L265" s="17" t="s">
        <v>847</v>
      </c>
      <c r="M265" s="17" t="s">
        <v>1293</v>
      </c>
      <c r="N265" s="17" t="s">
        <v>1293</v>
      </c>
      <c r="O265" s="17" t="s">
        <v>848</v>
      </c>
      <c r="P265" s="17" t="s">
        <v>848</v>
      </c>
      <c r="Q265" s="17" t="s">
        <v>848</v>
      </c>
      <c r="R265" s="17" t="s">
        <v>849</v>
      </c>
      <c r="S265" s="17" t="s">
        <v>849</v>
      </c>
      <c r="T265" s="17" t="s">
        <v>849</v>
      </c>
      <c r="U265" s="17" t="s">
        <v>849</v>
      </c>
      <c r="V265" s="17" t="s">
        <v>850</v>
      </c>
      <c r="W265" s="17">
        <f t="shared" si="14"/>
        <v>19</v>
      </c>
      <c r="X265" s="17" t="str">
        <f t="shared" si="15"/>
        <v>Crítico</v>
      </c>
      <c r="Y265" s="17" t="s">
        <v>851</v>
      </c>
      <c r="Z265" s="17" t="s">
        <v>2557</v>
      </c>
      <c r="AA265" s="17" t="s">
        <v>2558</v>
      </c>
      <c r="AB265" s="17" t="s">
        <v>978</v>
      </c>
      <c r="AC265" s="17"/>
      <c r="AD265" s="17"/>
      <c r="AE265" s="17"/>
    </row>
    <row r="266" spans="1:31" ht="35.25" customHeight="1">
      <c r="A266" s="21" t="s">
        <v>2559</v>
      </c>
      <c r="B266" s="28" t="s">
        <v>817</v>
      </c>
      <c r="C266" s="17" t="s">
        <v>818</v>
      </c>
      <c r="D266" s="17" t="s">
        <v>55</v>
      </c>
      <c r="E266" s="26" t="str" cm="1">
        <f t="array" ref="E266">IF($F266="Information Disclosure",Formatação!H$5,IF($F266="Repudiation",Formatação!H$4,IF($F266="Spoofing",Formatação!H$2,IF($F266="Tampering",Formatação!H$3, IF($F266="Denial of Service",Formatação!H$6,IF($F266="Elevation of Privilege",Formatação!H$7,IF($F266="Lateral Movement",Formatação!H$8,Errado)))))))</f>
        <v>Confidencialidade</v>
      </c>
      <c r="F266" s="26" t="s">
        <v>35</v>
      </c>
      <c r="G266" s="26" t="str" cm="1">
        <f t="array" ref="G266">IF($F266="Information Disclosure",Formatação!J$5,IF($F266="Repudiation",Formatação!J$4,IF($F266="Spoofing",Formatação!J$2,IF($F266="Tampering",Formatação!J$3, IF($F266="Denial of Service",Formatação!J$6,IF($F266="Elevation of Privilege",Formatação!J$7,IF($F266="Lateral Movement",Formatação!J$8,Errado)))))))</f>
        <v>Vazamento de dados</v>
      </c>
      <c r="H266" s="26" t="s">
        <v>259</v>
      </c>
      <c r="I266" s="17" t="s">
        <v>231</v>
      </c>
      <c r="J266" s="17" t="s">
        <v>1178</v>
      </c>
      <c r="K266" s="17" t="s">
        <v>847</v>
      </c>
      <c r="L266" s="17" t="s">
        <v>847</v>
      </c>
      <c r="M266" s="17" t="s">
        <v>1293</v>
      </c>
      <c r="N266" s="17" t="s">
        <v>1293</v>
      </c>
      <c r="O266" s="17" t="s">
        <v>848</v>
      </c>
      <c r="P266" s="17" t="s">
        <v>848</v>
      </c>
      <c r="Q266" s="17" t="s">
        <v>848</v>
      </c>
      <c r="R266" s="17" t="s">
        <v>849</v>
      </c>
      <c r="S266" s="17" t="s">
        <v>849</v>
      </c>
      <c r="T266" s="17" t="s">
        <v>849</v>
      </c>
      <c r="U266" s="17" t="s">
        <v>849</v>
      </c>
      <c r="V266" s="17" t="s">
        <v>850</v>
      </c>
      <c r="W266" s="26">
        <f t="shared" si="14"/>
        <v>19</v>
      </c>
      <c r="X266" s="26" t="str">
        <f t="shared" si="15"/>
        <v>Crítico</v>
      </c>
      <c r="Y266" s="17" t="s">
        <v>851</v>
      </c>
      <c r="Z266" s="17" t="s">
        <v>2560</v>
      </c>
      <c r="AA266" s="17" t="s">
        <v>2561</v>
      </c>
      <c r="AB266" s="26" t="s">
        <v>952</v>
      </c>
      <c r="AC266" s="26"/>
      <c r="AD266" s="26"/>
      <c r="AE266" s="26"/>
    </row>
    <row r="267" spans="1:31" ht="35.25" customHeight="1">
      <c r="A267" s="21" t="s">
        <v>2562</v>
      </c>
      <c r="B267" s="28" t="s">
        <v>1258</v>
      </c>
      <c r="C267" s="17" t="s">
        <v>820</v>
      </c>
      <c r="D267" s="17" t="s">
        <v>55</v>
      </c>
      <c r="E267" s="26" t="str" cm="1">
        <f t="array" ref="E267">IF($F267="Information Disclosure",Formatação!H$5,IF($F267="Repudiation",Formatação!H$4,IF($F267="Spoofing",Formatação!H$2,IF($F267="Tampering",Formatação!H$3, IF($F267="Denial of Service",Formatação!H$6,IF($F267="Elevation of Privilege",Formatação!H$7,IF($F267="Lateral Movement",Formatação!H$8,Errado)))))))</f>
        <v>Integridade</v>
      </c>
      <c r="F267" s="26" t="s">
        <v>25</v>
      </c>
      <c r="G267" s="26" t="str" cm="1">
        <f t="array" ref="G267">IF($F267="Information Disclosure",Formatação!J$5,IF($F267="Repudiation",Formatação!J$4,IF($F267="Spoofing",Formatação!J$2,IF($F267="Tampering",Formatação!J$3, IF($F267="Denial of Service",Formatação!J$6,IF($F267="Elevation of Privilege",Formatação!J$7,IF($F267="Lateral Movement",Formatação!J$8,Errado)))))))</f>
        <v>Danos a imagem</v>
      </c>
      <c r="H267" s="26" t="s">
        <v>244</v>
      </c>
      <c r="I267" s="26" t="s">
        <v>425</v>
      </c>
      <c r="J267" s="17" t="s">
        <v>1178</v>
      </c>
      <c r="K267" s="17" t="s">
        <v>847</v>
      </c>
      <c r="L267" s="17" t="s">
        <v>847</v>
      </c>
      <c r="M267" s="17" t="s">
        <v>1293</v>
      </c>
      <c r="N267" s="17" t="s">
        <v>1293</v>
      </c>
      <c r="O267" s="17" t="s">
        <v>848</v>
      </c>
      <c r="P267" s="17" t="s">
        <v>848</v>
      </c>
      <c r="Q267" s="17" t="s">
        <v>848</v>
      </c>
      <c r="R267" s="17" t="s">
        <v>849</v>
      </c>
      <c r="S267" s="17" t="s">
        <v>849</v>
      </c>
      <c r="T267" s="17" t="s">
        <v>849</v>
      </c>
      <c r="U267" s="17" t="s">
        <v>849</v>
      </c>
      <c r="V267" s="17" t="s">
        <v>850</v>
      </c>
      <c r="W267" s="26">
        <f t="shared" si="14"/>
        <v>19</v>
      </c>
      <c r="X267" s="26" t="str">
        <f t="shared" si="15"/>
        <v>Crítico</v>
      </c>
      <c r="Y267" s="17" t="s">
        <v>851</v>
      </c>
      <c r="Z267" s="17" t="s">
        <v>2557</v>
      </c>
      <c r="AA267" s="17" t="s">
        <v>2558</v>
      </c>
      <c r="AB267" s="26" t="s">
        <v>978</v>
      </c>
      <c r="AC267" s="26"/>
      <c r="AD267" s="26"/>
      <c r="AE267" s="26"/>
    </row>
    <row r="268" spans="1:31" ht="35.25" customHeight="1">
      <c r="A268" s="21" t="s">
        <v>2563</v>
      </c>
      <c r="B268" s="28" t="s">
        <v>1260</v>
      </c>
      <c r="C268" s="17" t="s">
        <v>1261</v>
      </c>
      <c r="D268" s="17" t="s">
        <v>55</v>
      </c>
      <c r="E268" s="26" t="str" cm="1">
        <f t="array" ref="E268">IF($F268="Information Disclosure",Formatação!H$5,IF($F268="Repudiation",Formatação!H$4,IF($F268="Spoofing",Formatação!H$2,IF($F268="Tampering",Formatação!H$3, IF($F268="Denial of Service",Formatação!H$6,IF($F268="Elevation of Privilege",Formatação!H$7,IF($F268="Lateral Movement",Formatação!H$8,Errado)))))))</f>
        <v>Autorização</v>
      </c>
      <c r="F268" s="26" t="s">
        <v>22</v>
      </c>
      <c r="G268" s="26" t="str" cm="1">
        <f t="array" ref="G268">IF($F268="Information Disclosure",Formatação!J$5,IF($F268="Repudiation",Formatação!J$4,IF($F268="Spoofing",Formatação!J$2,IF($F268="Tampering",Formatação!J$3, IF($F268="Denial of Service",Formatação!J$6,IF($F268="Elevation of Privilege",Formatação!J$7,IF($F268="Lateral Movement",Formatação!J$8,Errado)))))))</f>
        <v>Danos financeiros/Vazamento de dados</v>
      </c>
      <c r="H268" s="26" t="s">
        <v>26</v>
      </c>
      <c r="I268" s="26" t="s">
        <v>425</v>
      </c>
      <c r="J268" s="26" t="s">
        <v>1178</v>
      </c>
      <c r="K268" s="17" t="s">
        <v>847</v>
      </c>
      <c r="L268" s="17" t="s">
        <v>847</v>
      </c>
      <c r="M268" s="17" t="s">
        <v>847</v>
      </c>
      <c r="N268" s="17" t="s">
        <v>847</v>
      </c>
      <c r="O268" s="17" t="s">
        <v>848</v>
      </c>
      <c r="P268" s="17" t="s">
        <v>848</v>
      </c>
      <c r="Q268" s="17" t="s">
        <v>848</v>
      </c>
      <c r="R268" s="17" t="s">
        <v>849</v>
      </c>
      <c r="S268" s="17" t="s">
        <v>849</v>
      </c>
      <c r="T268" s="17" t="s">
        <v>849</v>
      </c>
      <c r="U268" s="17" t="s">
        <v>849</v>
      </c>
      <c r="V268" s="17" t="s">
        <v>850</v>
      </c>
      <c r="W268" s="26">
        <f t="shared" si="14"/>
        <v>19</v>
      </c>
      <c r="X268" s="26" t="str">
        <f t="shared" si="15"/>
        <v>Crítico</v>
      </c>
      <c r="Y268" s="17" t="s">
        <v>851</v>
      </c>
      <c r="Z268" s="17" t="s">
        <v>2557</v>
      </c>
      <c r="AA268" s="17" t="s">
        <v>2558</v>
      </c>
      <c r="AB268" s="26" t="s">
        <v>978</v>
      </c>
      <c r="AC268" s="26"/>
      <c r="AD268" s="26"/>
      <c r="AE268" s="81" t="s">
        <v>16</v>
      </c>
    </row>
    <row r="269" spans="1:31" ht="35.25" customHeight="1">
      <c r="A269" s="21" t="s">
        <v>2564</v>
      </c>
      <c r="B269" s="28" t="s">
        <v>337</v>
      </c>
      <c r="C269" s="17" t="s">
        <v>801</v>
      </c>
      <c r="D269" s="17" t="s">
        <v>55</v>
      </c>
      <c r="E269" s="26" t="str" cm="1">
        <f t="array" ref="E269">IF($F269="Information Disclosure",Formatação!H$5,IF($F269="Repudiation",Formatação!H$4,IF($F269="Spoofing",Formatação!H$2,IF($F269="Tampering",Formatação!H$3, IF($F269="Denial of Service",Formatação!H$6,IF($F269="Elevation of Privilege",Formatação!H$7,IF($F269="Lateral Movement",Formatação!H$8,Errado)))))))</f>
        <v>Integridade</v>
      </c>
      <c r="F269" s="26" t="s">
        <v>25</v>
      </c>
      <c r="G269" s="26" t="str" cm="1">
        <f t="array" ref="G269">IF($F269="Information Disclosure",Formatação!J$5,IF($F269="Repudiation",Formatação!J$4,IF($F269="Spoofing",Formatação!J$2,IF($F269="Tampering",Formatação!J$3, IF($F269="Denial of Service",Formatação!J$6,IF($F269="Elevation of Privilege",Formatação!J$7,IF($F269="Lateral Movement",Formatação!J$8,Errado)))))))</f>
        <v>Danos a imagem</v>
      </c>
      <c r="H269" s="26" t="s">
        <v>26</v>
      </c>
      <c r="I269" s="26" t="s">
        <v>425</v>
      </c>
      <c r="J269" s="26" t="s">
        <v>1178</v>
      </c>
      <c r="K269" s="17" t="s">
        <v>847</v>
      </c>
      <c r="L269" s="17" t="s">
        <v>847</v>
      </c>
      <c r="M269" s="17" t="s">
        <v>847</v>
      </c>
      <c r="N269" s="17" t="s">
        <v>1293</v>
      </c>
      <c r="O269" s="17" t="s">
        <v>848</v>
      </c>
      <c r="P269" s="17" t="s">
        <v>849</v>
      </c>
      <c r="Q269" s="17" t="s">
        <v>848</v>
      </c>
      <c r="R269" s="17" t="s">
        <v>849</v>
      </c>
      <c r="S269" s="17" t="s">
        <v>849</v>
      </c>
      <c r="T269" s="17" t="s">
        <v>849</v>
      </c>
      <c r="U269" s="17" t="s">
        <v>849</v>
      </c>
      <c r="V269" s="17" t="s">
        <v>850</v>
      </c>
      <c r="W269" s="26">
        <f t="shared" si="14"/>
        <v>18</v>
      </c>
      <c r="X269" s="26" t="str">
        <f t="shared" si="15"/>
        <v>Alto</v>
      </c>
      <c r="Y269" s="26" t="s">
        <v>851</v>
      </c>
      <c r="Z269" s="17" t="s">
        <v>2565</v>
      </c>
      <c r="AA269" s="17" t="s">
        <v>2566</v>
      </c>
      <c r="AB269" s="26" t="s">
        <v>978</v>
      </c>
      <c r="AC269" s="26"/>
      <c r="AD269" s="26"/>
      <c r="AE269" s="26"/>
    </row>
    <row r="270" spans="1:31" ht="35.25" customHeight="1">
      <c r="A270" s="21" t="s">
        <v>2567</v>
      </c>
      <c r="B270" s="28" t="s">
        <v>403</v>
      </c>
      <c r="C270" s="17" t="s">
        <v>821</v>
      </c>
      <c r="D270" s="17" t="s">
        <v>1263</v>
      </c>
      <c r="E270" s="26" t="str" cm="1">
        <f t="array" ref="E270">IF($F270="Information Disclosure",Formatação!H$5,IF($F270="Repudiation",Formatação!H$4,IF($F270="Spoofing",Formatação!H$2,IF($F270="Tampering",Formatação!H$3, IF($F270="Denial of Service",Formatação!H$6,IF($F270="Elevation of Privilege",Formatação!H$7,IF($F270="Lateral Movement",Formatação!H$8,Errado)))))))</f>
        <v>Não repúdio</v>
      </c>
      <c r="F270" s="26" t="s">
        <v>32</v>
      </c>
      <c r="G270" s="26" t="str" cm="1">
        <f t="array" ref="G270">IF($F270="Information Disclosure",Formatação!J$5,IF($F270="Repudiation",Formatação!J$4,IF($F270="Spoofing",Formatação!J$2,IF($F270="Tampering",Formatação!J$3, IF($F270="Denial of Service",Formatação!J$6,IF($F270="Elevation of Privilege",Formatação!J$7,IF($F270="Lateral Movement",Formatação!J$8,Errado)))))))</f>
        <v>Regulatório/Compliance</v>
      </c>
      <c r="H270" s="26" t="s">
        <v>404</v>
      </c>
      <c r="I270" s="17" t="s">
        <v>231</v>
      </c>
      <c r="J270" s="26" t="s">
        <v>410</v>
      </c>
      <c r="K270" s="17" t="s">
        <v>847</v>
      </c>
      <c r="L270" s="17" t="s">
        <v>847</v>
      </c>
      <c r="M270" s="17" t="s">
        <v>847</v>
      </c>
      <c r="N270" s="17" t="s">
        <v>1293</v>
      </c>
      <c r="O270" s="17" t="s">
        <v>848</v>
      </c>
      <c r="P270" s="17" t="s">
        <v>848</v>
      </c>
      <c r="Q270" s="17" t="s">
        <v>848</v>
      </c>
      <c r="R270" s="17" t="s">
        <v>848</v>
      </c>
      <c r="S270" s="17" t="s">
        <v>848</v>
      </c>
      <c r="T270" s="17" t="s">
        <v>848</v>
      </c>
      <c r="U270" s="17" t="s">
        <v>848</v>
      </c>
      <c r="V270" s="17" t="s">
        <v>850</v>
      </c>
      <c r="W270" s="26">
        <f t="shared" si="14"/>
        <v>23</v>
      </c>
      <c r="X270" s="26" t="str">
        <f t="shared" si="15"/>
        <v>Crítico</v>
      </c>
      <c r="Y270" s="17" t="s">
        <v>851</v>
      </c>
      <c r="Z270" s="17" t="s">
        <v>2472</v>
      </c>
      <c r="AA270" s="17" t="s">
        <v>2475</v>
      </c>
      <c r="AB270" s="26" t="s">
        <v>854</v>
      </c>
      <c r="AC270" s="26"/>
      <c r="AD270" s="26"/>
      <c r="AE270" s="26"/>
    </row>
    <row r="271" spans="1:31" ht="35.25" customHeight="1">
      <c r="A271" s="21" t="s">
        <v>2568</v>
      </c>
      <c r="B271" s="53" t="s">
        <v>406</v>
      </c>
      <c r="C271" s="17" t="s">
        <v>822</v>
      </c>
      <c r="D271" s="17" t="s">
        <v>1263</v>
      </c>
      <c r="E271" s="26" t="str" cm="1">
        <f t="array" ref="E271">IF($F271="Information Disclosure",Formatação!H$5,IF($F271="Repudiation",Formatação!H$4,IF($F271="Spoofing",Formatação!H$2,IF($F271="Tampering",Formatação!H$3, IF($F271="Denial of Service",Formatação!H$6,IF($F271="Elevation of Privilege",Formatação!H$7,IF($F271="Lateral Movement",Formatação!H$8,Errado)))))))</f>
        <v>Confidencialidade</v>
      </c>
      <c r="F271" s="17" t="s">
        <v>35</v>
      </c>
      <c r="G271" s="17" t="str" cm="1">
        <f t="array" ref="G271">IF($F271="Information Disclosure",Formatação!J$5,IF($F271="Repudiation",Formatação!J$4,IF($F271="Spoofing",Formatação!J$2,IF($F271="Tampering",Formatação!J$3, IF($F271="Denial of Service",Formatação!J$6,IF($F271="Elevation of Privilege",Formatação!J$7,IF($F271="Lateral Movement",Formatação!J$8,Errado)))))))</f>
        <v>Vazamento de dados</v>
      </c>
      <c r="H271" s="17" t="s">
        <v>407</v>
      </c>
      <c r="I271" s="17" t="s">
        <v>231</v>
      </c>
      <c r="J271" s="17" t="s">
        <v>413</v>
      </c>
      <c r="K271" s="17" t="s">
        <v>847</v>
      </c>
      <c r="L271" s="17" t="s">
        <v>847</v>
      </c>
      <c r="M271" s="17" t="s">
        <v>847</v>
      </c>
      <c r="N271" s="17" t="s">
        <v>1293</v>
      </c>
      <c r="O271" s="17" t="s">
        <v>848</v>
      </c>
      <c r="P271" s="17" t="s">
        <v>848</v>
      </c>
      <c r="Q271" s="17" t="s">
        <v>848</v>
      </c>
      <c r="R271" s="17" t="s">
        <v>849</v>
      </c>
      <c r="S271" s="17" t="s">
        <v>849</v>
      </c>
      <c r="T271" s="17" t="s">
        <v>849</v>
      </c>
      <c r="U271" s="17" t="s">
        <v>849</v>
      </c>
      <c r="V271" s="17" t="s">
        <v>850</v>
      </c>
      <c r="W271" s="17">
        <f t="shared" si="14"/>
        <v>19</v>
      </c>
      <c r="X271" s="17" t="str">
        <f t="shared" si="15"/>
        <v>Crítico</v>
      </c>
      <c r="Y271" s="17" t="s">
        <v>851</v>
      </c>
      <c r="Z271" s="17" t="s">
        <v>2569</v>
      </c>
      <c r="AA271" s="17" t="s">
        <v>2570</v>
      </c>
      <c r="AB271" s="17" t="s">
        <v>856</v>
      </c>
      <c r="AC271" s="17"/>
      <c r="AD271" s="17"/>
      <c r="AE271" s="17"/>
    </row>
    <row r="272" spans="1:31" ht="35.25" customHeight="1">
      <c r="A272" s="21" t="s">
        <v>2571</v>
      </c>
      <c r="B272" s="53" t="s">
        <v>411</v>
      </c>
      <c r="C272" s="17" t="s">
        <v>823</v>
      </c>
      <c r="D272" s="17" t="s">
        <v>1263</v>
      </c>
      <c r="E272" s="26" t="str" cm="1">
        <f t="array" ref="E272">IF($F272="Information Disclosure",Formatação!H$5,IF($F272="Repudiation",Formatação!H$4,IF($F272="Spoofing",Formatação!H$2,IF($F272="Tampering",Formatação!H$3, IF($F272="Denial of Service",Formatação!H$6,IF($F272="Elevation of Privilege",Formatação!H$7,IF($F272="Lateral Movement",Formatação!H$8,Errado)))))))</f>
        <v>Integridade</v>
      </c>
      <c r="F272" s="17" t="s">
        <v>25</v>
      </c>
      <c r="G272" s="17" t="str" cm="1">
        <f t="array" ref="G272">IF($F272="Information Disclosure",Formatação!J$5,IF($F272="Repudiation",Formatação!J$4,IF($F272="Spoofing",Formatação!J$2,IF($F272="Tampering",Formatação!J$3, IF($F272="Denial of Service",Formatação!J$6,IF($F272="Elevation of Privilege",Formatação!J$7,IF($F272="Lateral Movement",Formatação!J$8,Errado)))))))</f>
        <v>Danos a imagem</v>
      </c>
      <c r="H272" s="17" t="s">
        <v>283</v>
      </c>
      <c r="I272" s="17" t="s">
        <v>231</v>
      </c>
      <c r="J272" s="17" t="s">
        <v>357</v>
      </c>
      <c r="K272" s="17" t="s">
        <v>847</v>
      </c>
      <c r="L272" s="17" t="s">
        <v>847</v>
      </c>
      <c r="M272" s="17" t="s">
        <v>847</v>
      </c>
      <c r="N272" s="17" t="s">
        <v>1293</v>
      </c>
      <c r="O272" s="17" t="s">
        <v>848</v>
      </c>
      <c r="P272" s="17" t="s">
        <v>849</v>
      </c>
      <c r="Q272" s="17" t="s">
        <v>849</v>
      </c>
      <c r="R272" s="17" t="s">
        <v>849</v>
      </c>
      <c r="S272" s="17" t="s">
        <v>849</v>
      </c>
      <c r="T272" s="17" t="s">
        <v>849</v>
      </c>
      <c r="U272" s="17" t="s">
        <v>849</v>
      </c>
      <c r="V272" s="17" t="s">
        <v>850</v>
      </c>
      <c r="W272" s="17">
        <f t="shared" si="14"/>
        <v>17</v>
      </c>
      <c r="X272" s="17" t="str">
        <f t="shared" si="15"/>
        <v>Alto</v>
      </c>
      <c r="Y272" s="17" t="s">
        <v>1704</v>
      </c>
      <c r="Z272" s="17" t="s">
        <v>2207</v>
      </c>
      <c r="AA272" s="17" t="s">
        <v>2572</v>
      </c>
      <c r="AB272" s="17" t="s">
        <v>854</v>
      </c>
      <c r="AC272" s="17"/>
      <c r="AD272" s="17"/>
      <c r="AE272" s="17"/>
    </row>
    <row r="273" spans="1:31" ht="35.25" customHeight="1">
      <c r="A273" s="21" t="s">
        <v>2573</v>
      </c>
      <c r="B273" s="53" t="s">
        <v>2574</v>
      </c>
      <c r="C273" s="17" t="s">
        <v>824</v>
      </c>
      <c r="D273" s="17" t="s">
        <v>1263</v>
      </c>
      <c r="E273" s="26" t="str" cm="1">
        <f t="array" ref="E273">IF($F273="Information Disclosure",Formatação!H$5,IF($F273="Repudiation",Formatação!H$4,IF($F273="Spoofing",Formatação!H$2,IF($F273="Tampering",Formatação!H$3, IF($F273="Denial of Service",Formatação!H$6,IF($F273="Elevation of Privilege",Formatação!H$7,IF($F273="Lateral Movement",Formatação!H$8,Errado)))))))</f>
        <v>Autenticação</v>
      </c>
      <c r="F273" s="17" t="s">
        <v>102</v>
      </c>
      <c r="G273" s="17" t="str" cm="1">
        <f t="array" ref="G273">IF($F273="Information Disclosure",Formatação!J$5,IF($F273="Repudiation",Formatação!J$4,IF($F273="Spoofing",Formatação!J$2,IF($F273="Tampering",Formatação!J$3, IF($F273="Denial of Service",Formatação!J$6,IF($F273="Elevation of Privilege",Formatação!J$7,IF($F273="Lateral Movement",Formatação!J$8,Errado)))))))</f>
        <v>Fraudes/Vazamento de dados</v>
      </c>
      <c r="H273" s="17" t="s">
        <v>415</v>
      </c>
      <c r="I273" s="17" t="s">
        <v>409</v>
      </c>
      <c r="J273" s="17" t="s">
        <v>413</v>
      </c>
      <c r="K273" s="17" t="s">
        <v>847</v>
      </c>
      <c r="L273" s="17" t="s">
        <v>847</v>
      </c>
      <c r="M273" s="17" t="s">
        <v>847</v>
      </c>
      <c r="N273" s="17" t="s">
        <v>847</v>
      </c>
      <c r="O273" s="17" t="s">
        <v>849</v>
      </c>
      <c r="P273" s="17" t="s">
        <v>848</v>
      </c>
      <c r="Q273" s="17" t="s">
        <v>848</v>
      </c>
      <c r="R273" s="17" t="s">
        <v>848</v>
      </c>
      <c r="S273" s="17" t="s">
        <v>848</v>
      </c>
      <c r="T273" s="17" t="s">
        <v>848</v>
      </c>
      <c r="U273" s="17" t="s">
        <v>848</v>
      </c>
      <c r="V273" s="17" t="s">
        <v>850</v>
      </c>
      <c r="W273" s="17">
        <f t="shared" si="14"/>
        <v>22</v>
      </c>
      <c r="X273" s="17" t="str">
        <f t="shared" si="15"/>
        <v>Crítico</v>
      </c>
      <c r="Y273" s="17" t="s">
        <v>851</v>
      </c>
      <c r="Z273" s="17" t="s">
        <v>2575</v>
      </c>
      <c r="AA273" s="17" t="s">
        <v>2576</v>
      </c>
      <c r="AB273" s="17" t="s">
        <v>856</v>
      </c>
      <c r="AC273" s="17"/>
      <c r="AD273" s="17"/>
      <c r="AE273" s="17"/>
    </row>
    <row r="274" spans="1:31" ht="35.25" customHeight="1">
      <c r="A274" s="21" t="s">
        <v>2577</v>
      </c>
      <c r="B274" s="28" t="s">
        <v>1269</v>
      </c>
      <c r="C274" s="17" t="s">
        <v>826</v>
      </c>
      <c r="D274" s="17" t="s">
        <v>1263</v>
      </c>
      <c r="E274" s="26" t="str" cm="1">
        <f t="array" ref="E274">IF($F274="Information Disclosure",Formatação!H$5,IF($F274="Repudiation",Formatação!H$4,IF($F274="Spoofing",Formatação!H$2,IF($F274="Tampering",Formatação!H$3, IF($F274="Denial of Service",Formatação!H$6,IF($F274="Elevation of Privilege",Formatação!H$7,IF($F274="Lateral Movement",Formatação!H$8,Errado)))))))</f>
        <v>Não repúdio</v>
      </c>
      <c r="F274" s="26" t="s">
        <v>32</v>
      </c>
      <c r="G274" s="26" t="str" cm="1">
        <f t="array" ref="G274">IF($F274="Information Disclosure",Formatação!J$5,IF($F274="Repudiation",Formatação!J$4,IF($F274="Spoofing",Formatação!J$2,IF($F274="Tampering",Formatação!J$3, IF($F274="Denial of Service",Formatação!J$6,IF($F274="Elevation of Privilege",Formatação!J$7,IF($F274="Lateral Movement",Formatação!J$8,Errado)))))))</f>
        <v>Regulatório/Compliance</v>
      </c>
      <c r="H274" s="26" t="s">
        <v>33</v>
      </c>
      <c r="I274" s="17" t="s">
        <v>231</v>
      </c>
      <c r="J274" s="26" t="s">
        <v>944</v>
      </c>
      <c r="K274" s="17" t="s">
        <v>847</v>
      </c>
      <c r="L274" s="17" t="s">
        <v>847</v>
      </c>
      <c r="M274" s="17" t="s">
        <v>847</v>
      </c>
      <c r="N274" s="17" t="s">
        <v>847</v>
      </c>
      <c r="O274" s="17" t="s">
        <v>848</v>
      </c>
      <c r="P274" s="17" t="s">
        <v>849</v>
      </c>
      <c r="Q274" s="17" t="s">
        <v>849</v>
      </c>
      <c r="R274" s="17" t="s">
        <v>849</v>
      </c>
      <c r="S274" s="17" t="s">
        <v>849</v>
      </c>
      <c r="T274" s="17" t="s">
        <v>849</v>
      </c>
      <c r="U274" s="17" t="s">
        <v>849</v>
      </c>
      <c r="V274" s="17" t="s">
        <v>850</v>
      </c>
      <c r="W274" s="26">
        <f t="shared" si="14"/>
        <v>17</v>
      </c>
      <c r="X274" s="26" t="str">
        <f t="shared" si="15"/>
        <v>Alto</v>
      </c>
      <c r="Y274" s="17" t="s">
        <v>1704</v>
      </c>
      <c r="Z274" s="17" t="e" vm="1">
        <f>VLOOKUP(Tabela7[[#This Row],[Controle]],[1]!Tabela135[#Data],33,FALSE)</f>
        <v>#REF!</v>
      </c>
      <c r="AA274" s="17" t="e" vm="1">
        <f>VLOOKUP(Tabela7[[#This Row],[Controle]],[1]!Tabela135[#Data],34,FALSE)</f>
        <v>#REF!</v>
      </c>
      <c r="AB274" s="26" t="s">
        <v>987</v>
      </c>
      <c r="AC274" s="26"/>
      <c r="AD274" s="26"/>
      <c r="AE274" s="26"/>
    </row>
    <row r="275" spans="1:31" ht="35.25" customHeight="1">
      <c r="A275" s="21" t="s">
        <v>2578</v>
      </c>
      <c r="B275" s="28" t="s">
        <v>420</v>
      </c>
      <c r="C275" s="17" t="s">
        <v>827</v>
      </c>
      <c r="D275" s="17" t="s">
        <v>1263</v>
      </c>
      <c r="E275" s="26" t="str" cm="1">
        <f t="array" ref="E275">IF($F275="Information Disclosure",Formatação!H$5,IF($F275="Repudiation",Formatação!H$4,IF($F275="Spoofing",Formatação!H$2,IF($F275="Tampering",Formatação!H$3, IF($F275="Denial of Service",Formatação!H$6,IF($F275="Elevation of Privilege",Formatação!H$7,IF($F275="Lateral Movement",Formatação!H$8,Errado)))))))</f>
        <v>Confidencialidade</v>
      </c>
      <c r="F275" s="26" t="s">
        <v>35</v>
      </c>
      <c r="G275" s="26" t="str" cm="1">
        <f t="array" ref="G275">IF($F275="Information Disclosure",Formatação!J$5,IF($F275="Repudiation",Formatação!J$4,IF($F275="Spoofing",Formatação!J$2,IF($F275="Tampering",Formatação!J$3, IF($F275="Denial of Service",Formatação!J$6,IF($F275="Elevation of Privilege",Formatação!J$7,IF($F275="Lateral Movement",Formatação!J$8,Errado)))))))</f>
        <v>Vazamento de dados</v>
      </c>
      <c r="H275" s="26" t="s">
        <v>375</v>
      </c>
      <c r="I275" s="26" t="s">
        <v>425</v>
      </c>
      <c r="J275" s="26" t="s">
        <v>357</v>
      </c>
      <c r="K275" s="17" t="s">
        <v>847</v>
      </c>
      <c r="L275" s="17" t="s">
        <v>847</v>
      </c>
      <c r="M275" s="17" t="s">
        <v>847</v>
      </c>
      <c r="N275" s="17" t="s">
        <v>1293</v>
      </c>
      <c r="O275" s="17" t="s">
        <v>849</v>
      </c>
      <c r="P275" s="17" t="s">
        <v>849</v>
      </c>
      <c r="Q275" s="17" t="s">
        <v>848</v>
      </c>
      <c r="R275" s="17" t="s">
        <v>849</v>
      </c>
      <c r="S275" s="17" t="s">
        <v>849</v>
      </c>
      <c r="T275" s="17" t="s">
        <v>849</v>
      </c>
      <c r="U275" s="17" t="s">
        <v>849</v>
      </c>
      <c r="V275" s="17" t="s">
        <v>850</v>
      </c>
      <c r="W275" s="26">
        <f t="shared" si="14"/>
        <v>17</v>
      </c>
      <c r="X275" s="26" t="str">
        <f t="shared" si="15"/>
        <v>Alto</v>
      </c>
      <c r="Y275" s="17" t="s">
        <v>851</v>
      </c>
      <c r="Z275" s="26" t="s">
        <v>2579</v>
      </c>
      <c r="AA275" s="26" t="s">
        <v>2580</v>
      </c>
      <c r="AB275" s="26" t="s">
        <v>854</v>
      </c>
      <c r="AC275" s="26"/>
      <c r="AD275" s="26"/>
      <c r="AE275" s="26"/>
    </row>
    <row r="276" spans="1:31" ht="35.25" customHeight="1">
      <c r="A276" s="21" t="s">
        <v>2581</v>
      </c>
      <c r="B276" s="53" t="s">
        <v>391</v>
      </c>
      <c r="C276" s="17" t="s">
        <v>828</v>
      </c>
      <c r="D276" s="17" t="s">
        <v>1263</v>
      </c>
      <c r="E276" s="26" t="str" cm="1">
        <f t="array" ref="E276">IF($F276="Information Disclosure",Formatação!H$5,IF($F276="Repudiation",Formatação!H$4,IF($F276="Spoofing",Formatação!H$2,IF($F276="Tampering",Formatação!H$3, IF($F276="Denial of Service",Formatação!H$6,IF($F276="Elevation of Privilege",Formatação!H$7,IF($F276="Lateral Movement",Formatação!H$8,Errado)))))))</f>
        <v>Não repúdio</v>
      </c>
      <c r="F276" s="17" t="s">
        <v>32</v>
      </c>
      <c r="G276" s="17" t="str" cm="1">
        <f t="array" ref="G276">IF($F276="Information Disclosure",Formatação!J$5,IF($F276="Repudiation",Formatação!J$4,IF($F276="Spoofing",Formatação!J$2,IF($F276="Tampering",Formatação!J$3, IF($F276="Denial of Service",Formatação!J$6,IF($F276="Elevation of Privilege",Formatação!J$7,IF($F276="Lateral Movement",Formatação!J$8,Errado)))))))</f>
        <v>Regulatório/Compliance</v>
      </c>
      <c r="H276" s="17" t="s">
        <v>375</v>
      </c>
      <c r="I276" s="17" t="s">
        <v>231</v>
      </c>
      <c r="J276" s="17" t="s">
        <v>944</v>
      </c>
      <c r="K276" s="17" t="s">
        <v>847</v>
      </c>
      <c r="L276" s="17" t="s">
        <v>847</v>
      </c>
      <c r="M276" s="17" t="s">
        <v>847</v>
      </c>
      <c r="N276" s="17" t="s">
        <v>847</v>
      </c>
      <c r="O276" s="17" t="s">
        <v>848</v>
      </c>
      <c r="P276" s="17" t="s">
        <v>849</v>
      </c>
      <c r="Q276" s="17" t="s">
        <v>848</v>
      </c>
      <c r="R276" s="17" t="s">
        <v>849</v>
      </c>
      <c r="S276" s="17" t="s">
        <v>849</v>
      </c>
      <c r="T276" s="17" t="s">
        <v>849</v>
      </c>
      <c r="U276" s="17" t="s">
        <v>849</v>
      </c>
      <c r="V276" s="17" t="s">
        <v>848</v>
      </c>
      <c r="W276" s="17">
        <f t="shared" si="14"/>
        <v>19</v>
      </c>
      <c r="X276" s="17" t="str">
        <f t="shared" si="15"/>
        <v>Crítico</v>
      </c>
      <c r="Y276" s="17" t="s">
        <v>851</v>
      </c>
      <c r="Z276" s="17" t="s">
        <v>2582</v>
      </c>
      <c r="AA276" s="17" t="s">
        <v>2583</v>
      </c>
      <c r="AB276" s="17" t="s">
        <v>952</v>
      </c>
      <c r="AC276" s="17"/>
      <c r="AD276" s="17"/>
      <c r="AE276" s="17"/>
    </row>
    <row r="277" spans="1:31" ht="35.25" customHeight="1">
      <c r="A277" s="21" t="s">
        <v>2584</v>
      </c>
      <c r="B277" s="53" t="s">
        <v>2585</v>
      </c>
      <c r="C277" s="17" t="s">
        <v>829</v>
      </c>
      <c r="D277" s="17" t="s">
        <v>1263</v>
      </c>
      <c r="E277" s="26" t="str" cm="1">
        <f t="array" ref="E277">IF($F277="Information Disclosure",Formatação!H$5,IF($F277="Repudiation",Formatação!H$4,IF($F277="Spoofing",Formatação!H$2,IF($F277="Tampering",Formatação!H$3, IF($F277="Denial of Service",Formatação!H$6,IF($F277="Elevation of Privilege",Formatação!H$7,IF($F277="Lateral Movement",Formatação!H$8,Errado)))))))</f>
        <v>Confidencialidade</v>
      </c>
      <c r="F277" s="17" t="s">
        <v>35</v>
      </c>
      <c r="G277" s="17" t="str" cm="1">
        <f t="array" ref="G277">IF($F277="Information Disclosure",Formatação!J$5,IF($F277="Repudiation",Formatação!J$4,IF($F277="Spoofing",Formatação!J$2,IF($F277="Tampering",Formatação!J$3, IF($F277="Denial of Service",Formatação!J$6,IF($F277="Elevation of Privilege",Formatação!J$7,IF($F277="Lateral Movement",Formatação!J$8,Errado)))))))</f>
        <v>Vazamento de dados</v>
      </c>
      <c r="H277" s="17" t="s">
        <v>418</v>
      </c>
      <c r="I277" s="17" t="s">
        <v>231</v>
      </c>
      <c r="J277" s="17" t="s">
        <v>232</v>
      </c>
      <c r="K277" s="17" t="s">
        <v>847</v>
      </c>
      <c r="L277" s="17" t="s">
        <v>847</v>
      </c>
      <c r="M277" s="17" t="s">
        <v>847</v>
      </c>
      <c r="N277" s="17" t="s">
        <v>847</v>
      </c>
      <c r="O277" s="17" t="s">
        <v>848</v>
      </c>
      <c r="P277" s="17" t="s">
        <v>849</v>
      </c>
      <c r="Q277" s="17" t="s">
        <v>848</v>
      </c>
      <c r="R277" s="17" t="s">
        <v>849</v>
      </c>
      <c r="S277" s="17" t="s">
        <v>849</v>
      </c>
      <c r="T277" s="17" t="s">
        <v>849</v>
      </c>
      <c r="U277" s="17" t="s">
        <v>849</v>
      </c>
      <c r="V277" s="17" t="s">
        <v>848</v>
      </c>
      <c r="W277" s="17">
        <f t="shared" si="14"/>
        <v>19</v>
      </c>
      <c r="X277" s="17" t="str">
        <f t="shared" si="15"/>
        <v>Crítico</v>
      </c>
      <c r="Y277" s="17" t="s">
        <v>851</v>
      </c>
      <c r="Z277" s="17" t="e" vm="1">
        <f>VLOOKUP(Tabela7[[#This Row],[Controle]],[1]!Tabela135[#Data],33,FALSE)</f>
        <v>#REF!</v>
      </c>
      <c r="AA277" s="17" t="e" vm="1">
        <f>VLOOKUP(Tabela7[[#This Row],[Controle]],[1]!Tabela135[#Data],34,FALSE)</f>
        <v>#REF!</v>
      </c>
      <c r="AB277" s="17" t="s">
        <v>854</v>
      </c>
      <c r="AC277" s="17"/>
      <c r="AD277" s="17"/>
      <c r="AE277" s="17"/>
    </row>
    <row r="278" spans="1:31" ht="35.25" customHeight="1">
      <c r="A278" s="21" t="s">
        <v>2586</v>
      </c>
      <c r="B278" s="53" t="s">
        <v>830</v>
      </c>
      <c r="C278" s="17" t="s">
        <v>831</v>
      </c>
      <c r="D278" s="17" t="s">
        <v>1263</v>
      </c>
      <c r="E278" s="26" t="str" cm="1">
        <f t="array" ref="E278">IF($F278="Information Disclosure",Formatação!H$5,IF($F278="Repudiation",Formatação!H$4,IF($F278="Spoofing",Formatação!H$2,IF($F278="Tampering",Formatação!H$3, IF($F278="Denial of Service",Formatação!H$6,IF($F278="Elevation of Privilege",Formatação!H$7,IF($F278="Lateral Movement",Formatação!H$8,Errado)))))))</f>
        <v>Confidencialidade</v>
      </c>
      <c r="F278" s="17" t="s">
        <v>35</v>
      </c>
      <c r="G278" s="17" t="str" cm="1">
        <f t="array" ref="G278">IF($F278="Information Disclosure",Formatação!J$5,IF($F278="Repudiation",Formatação!J$4,IF($F278="Spoofing",Formatação!J$2,IF($F278="Tampering",Formatação!J$3, IF($F278="Denial of Service",Formatação!J$6,IF($F278="Elevation of Privilege",Formatação!J$7,IF($F278="Lateral Movement",Formatação!J$8,Errado)))))))</f>
        <v>Vazamento de dados</v>
      </c>
      <c r="H278" s="17" t="s">
        <v>29</v>
      </c>
      <c r="I278" s="17" t="s">
        <v>425</v>
      </c>
      <c r="J278" s="17" t="s">
        <v>357</v>
      </c>
      <c r="K278" s="17" t="s">
        <v>847</v>
      </c>
      <c r="L278" s="17" t="s">
        <v>847</v>
      </c>
      <c r="M278" s="17" t="s">
        <v>847</v>
      </c>
      <c r="N278" s="17" t="s">
        <v>847</v>
      </c>
      <c r="O278" s="17" t="s">
        <v>1614</v>
      </c>
      <c r="P278" s="17" t="s">
        <v>848</v>
      </c>
      <c r="Q278" s="17" t="s">
        <v>848</v>
      </c>
      <c r="R278" s="17" t="s">
        <v>849</v>
      </c>
      <c r="S278" s="17" t="s">
        <v>849</v>
      </c>
      <c r="T278" s="17" t="s">
        <v>849</v>
      </c>
      <c r="U278" s="17" t="s">
        <v>849</v>
      </c>
      <c r="V278" s="17" t="s">
        <v>848</v>
      </c>
      <c r="W278" s="17">
        <f t="shared" si="14"/>
        <v>17</v>
      </c>
      <c r="X278" s="17" t="str">
        <f t="shared" si="15"/>
        <v>Alto</v>
      </c>
      <c r="Y278" s="17" t="s">
        <v>851</v>
      </c>
      <c r="Z278" s="17" t="s">
        <v>2587</v>
      </c>
      <c r="AA278" s="17" t="s">
        <v>2588</v>
      </c>
      <c r="AB278" s="17" t="s">
        <v>952</v>
      </c>
      <c r="AC278" s="17"/>
      <c r="AD278" s="17"/>
      <c r="AE278" s="17"/>
    </row>
    <row r="279" spans="1:31" ht="35.25" customHeight="1">
      <c r="A279" s="21" t="s">
        <v>2589</v>
      </c>
      <c r="B279" s="53" t="s">
        <v>2590</v>
      </c>
      <c r="C279" s="17" t="s">
        <v>2591</v>
      </c>
      <c r="D279" s="17" t="s">
        <v>1263</v>
      </c>
      <c r="E279" s="26" t="str" cm="1">
        <f t="array" ref="E279">IF($F279="Information Disclosure",Formatação!H$5,IF($F279="Repudiation",Formatação!H$4,IF($F279="Spoofing",Formatação!H$2,IF($F279="Tampering",Formatação!H$3, IF($F279="Denial of Service",Formatação!H$6,IF($F279="Elevation of Privilege",Formatação!H$7,IF($F279="Lateral Movement",Formatação!H$8,Errado)))))))</f>
        <v>Confidencialidade</v>
      </c>
      <c r="F279" s="17" t="s">
        <v>35</v>
      </c>
      <c r="G279" s="17" t="str" cm="1">
        <f t="array" ref="G279">IF($F279="Information Disclosure",Formatação!J$5,IF($F279="Repudiation",Formatação!J$4,IF($F279="Spoofing",Formatação!J$2,IF($F279="Tampering",Formatação!J$3, IF($F279="Denial of Service",Formatação!J$6,IF($F279="Elevation of Privilege",Formatação!J$7,IF($F279="Lateral Movement",Formatação!J$8,Errado)))))))</f>
        <v>Vazamento de dados</v>
      </c>
      <c r="H279" s="17" t="s">
        <v>26</v>
      </c>
      <c r="I279" s="17" t="s">
        <v>964</v>
      </c>
      <c r="J279" s="17" t="s">
        <v>944</v>
      </c>
      <c r="K279" s="17" t="s">
        <v>847</v>
      </c>
      <c r="L279" s="17" t="s">
        <v>1293</v>
      </c>
      <c r="M279" s="17" t="s">
        <v>1293</v>
      </c>
      <c r="N279" s="17" t="s">
        <v>847</v>
      </c>
      <c r="O279" s="17" t="s">
        <v>849</v>
      </c>
      <c r="P279" s="17" t="s">
        <v>849</v>
      </c>
      <c r="Q279" s="17" t="s">
        <v>848</v>
      </c>
      <c r="R279" s="17" t="s">
        <v>848</v>
      </c>
      <c r="S279" s="17" t="s">
        <v>849</v>
      </c>
      <c r="T279" s="17" t="s">
        <v>848</v>
      </c>
      <c r="U279" s="17" t="s">
        <v>848</v>
      </c>
      <c r="V279" s="17" t="s">
        <v>849</v>
      </c>
      <c r="W279" s="17">
        <f t="shared" si="14"/>
        <v>20</v>
      </c>
      <c r="X279" s="17" t="str">
        <f t="shared" si="15"/>
        <v>Crítico</v>
      </c>
      <c r="Y279" s="17" t="s">
        <v>851</v>
      </c>
      <c r="Z279" s="17" t="s">
        <v>2557</v>
      </c>
      <c r="AA279" s="17" t="s">
        <v>2558</v>
      </c>
      <c r="AB279" s="17"/>
      <c r="AC279" s="17"/>
      <c r="AD279" s="17"/>
      <c r="AE279" s="17"/>
    </row>
    <row r="280" spans="1:31" ht="35.25" customHeight="1">
      <c r="A280" s="21" t="s">
        <v>2592</v>
      </c>
      <c r="B280" s="53" t="s">
        <v>2593</v>
      </c>
      <c r="C280" s="17" t="s">
        <v>2594</v>
      </c>
      <c r="D280" s="17" t="s">
        <v>1263</v>
      </c>
      <c r="E280" s="26" t="str" cm="1">
        <f t="array" ref="E280">IF($F280="Information Disclosure",Formatação!H$5,IF($F280="Repudiation",Formatação!H$4,IF($F280="Spoofing",Formatação!H$2,IF($F280="Tampering",Formatação!H$3, IF($F280="Denial of Service",Formatação!H$6,IF($F280="Elevation of Privilege",Formatação!H$7,IF($F280="Lateral Movement",Formatação!H$8,Errado)))))))</f>
        <v>Confidencialidade</v>
      </c>
      <c r="F280" s="17" t="s">
        <v>35</v>
      </c>
      <c r="G280" s="17" t="str" cm="1">
        <f t="array" ref="G280">IF($F280="Information Disclosure",Formatação!J$5,IF($F280="Repudiation",Formatação!J$4,IF($F280="Spoofing",Formatação!J$2,IF($F280="Tampering",Formatação!J$3, IF($F280="Denial of Service",Formatação!J$6,IF($F280="Elevation of Privilege",Formatação!J$7,IF($F280="Lateral Movement",Formatação!J$8,Errado)))))))</f>
        <v>Vazamento de dados</v>
      </c>
      <c r="H280" s="17" t="s">
        <v>26</v>
      </c>
      <c r="I280" s="17" t="s">
        <v>964</v>
      </c>
      <c r="J280" s="17" t="s">
        <v>944</v>
      </c>
      <c r="K280" s="17" t="s">
        <v>847</v>
      </c>
      <c r="L280" s="17" t="s">
        <v>847</v>
      </c>
      <c r="M280" s="17" t="s">
        <v>847</v>
      </c>
      <c r="N280" s="17" t="s">
        <v>847</v>
      </c>
      <c r="O280" s="17" t="s">
        <v>849</v>
      </c>
      <c r="P280" s="17" t="s">
        <v>849</v>
      </c>
      <c r="Q280" s="17" t="s">
        <v>848</v>
      </c>
      <c r="R280" s="17" t="s">
        <v>849</v>
      </c>
      <c r="S280" s="17" t="s">
        <v>849</v>
      </c>
      <c r="T280" s="17" t="s">
        <v>848</v>
      </c>
      <c r="U280" s="17" t="s">
        <v>848</v>
      </c>
      <c r="V280" s="17" t="s">
        <v>849</v>
      </c>
      <c r="W280" s="17">
        <f t="shared" si="14"/>
        <v>19</v>
      </c>
      <c r="X280" s="17" t="str">
        <f t="shared" si="15"/>
        <v>Crítico</v>
      </c>
      <c r="Y280" s="17" t="s">
        <v>851</v>
      </c>
      <c r="Z280" s="17" t="e" vm="1">
        <f>VLOOKUP(Tabela7[[#This Row],[Controle]],[1]!Tabela135[#Data],33,FALSE)</f>
        <v>#REF!</v>
      </c>
      <c r="AA280" s="17" t="e" vm="1">
        <f>VLOOKUP(Tabela7[[#This Row],[Controle]],[1]!Tabela135[#Data],34,FALSE)</f>
        <v>#REF!</v>
      </c>
      <c r="AB280" s="17"/>
      <c r="AC280" s="17"/>
      <c r="AD280" s="17"/>
      <c r="AE280" s="17"/>
    </row>
    <row r="281" spans="1:31" ht="35.25" customHeight="1">
      <c r="A281" s="21" t="s">
        <v>2595</v>
      </c>
      <c r="B281" s="53" t="s">
        <v>2596</v>
      </c>
      <c r="C281" s="17" t="s">
        <v>2597</v>
      </c>
      <c r="D281" s="17" t="s">
        <v>1263</v>
      </c>
      <c r="E281" s="26" t="str" cm="1">
        <f t="array" ref="E281">IF($F281="Information Disclosure",Formatação!H$5,IF($F281="Repudiation",Formatação!H$4,IF($F281="Spoofing",Formatação!H$2,IF($F281="Tampering",Formatação!H$3, IF($F281="Denial of Service",Formatação!H$6,IF($F281="Elevation of Privilege",Formatação!H$7,IF($F281="Lateral Movement",Formatação!H$8,Errado)))))))</f>
        <v>Confidencialidade</v>
      </c>
      <c r="F281" s="17" t="s">
        <v>35</v>
      </c>
      <c r="G281" s="17" t="str" cm="1">
        <f t="array" ref="G281">IF($F281="Information Disclosure",Formatação!J$5,IF($F281="Repudiation",Formatação!J$4,IF($F281="Spoofing",Formatação!J$2,IF($F281="Tampering",Formatação!J$3, IF($F281="Denial of Service",Formatação!J$6,IF($F281="Elevation of Privilege",Formatação!J$7,IF($F281="Lateral Movement",Formatação!J$8,Errado)))))))</f>
        <v>Vazamento de dados</v>
      </c>
      <c r="H281" s="17" t="s">
        <v>259</v>
      </c>
      <c r="I281" s="17" t="s">
        <v>964</v>
      </c>
      <c r="J281" s="17" t="s">
        <v>944</v>
      </c>
      <c r="K281" s="17" t="s">
        <v>847</v>
      </c>
      <c r="L281" s="17" t="s">
        <v>847</v>
      </c>
      <c r="M281" s="17" t="s">
        <v>847</v>
      </c>
      <c r="N281" s="17" t="s">
        <v>847</v>
      </c>
      <c r="O281" s="17" t="s">
        <v>849</v>
      </c>
      <c r="P281" s="17" t="s">
        <v>848</v>
      </c>
      <c r="Q281" s="17" t="s">
        <v>848</v>
      </c>
      <c r="R281" s="17" t="s">
        <v>848</v>
      </c>
      <c r="S281" s="17" t="s">
        <v>849</v>
      </c>
      <c r="T281" s="17" t="s">
        <v>848</v>
      </c>
      <c r="U281" s="17" t="s">
        <v>848</v>
      </c>
      <c r="V281" s="17" t="s">
        <v>849</v>
      </c>
      <c r="W281" s="17">
        <f t="shared" si="14"/>
        <v>21</v>
      </c>
      <c r="X281" s="17" t="str">
        <f t="shared" si="15"/>
        <v>Crítico</v>
      </c>
      <c r="Y281" s="17" t="s">
        <v>851</v>
      </c>
      <c r="Z281" s="17" t="s">
        <v>2598</v>
      </c>
      <c r="AA281" s="17" t="s">
        <v>2599</v>
      </c>
      <c r="AB281" s="17"/>
      <c r="AC281" s="17"/>
      <c r="AD281" s="17"/>
      <c r="AE281" s="17"/>
    </row>
    <row r="282" spans="1:31" ht="35.25" customHeight="1">
      <c r="A282" s="21" t="s">
        <v>2600</v>
      </c>
      <c r="B282" s="53" t="s">
        <v>547</v>
      </c>
      <c r="C282" s="17" t="s">
        <v>838</v>
      </c>
      <c r="D282" s="17" t="s">
        <v>156</v>
      </c>
      <c r="E282" s="26" t="str" cm="1">
        <f t="array" ref="E282">IF($F282="Information Disclosure",Formatação!H$5,IF($F282="Repudiation",Formatação!H$4,IF($F282="Spoofing",Formatação!H$2,IF($F282="Tampering",Formatação!H$3, IF($F282="Denial of Service",Formatação!H$6,IF($F282="Elevation of Privilege",Formatação!H$7,IF($F282="Lateral Movement",Formatação!H$8,Errado)))))))</f>
        <v>Autenticação</v>
      </c>
      <c r="F282" s="17" t="s">
        <v>102</v>
      </c>
      <c r="G282" s="17" t="str" cm="1">
        <f t="array" ref="G282">IF($F282="Information Disclosure",Formatação!J$5,IF($F282="Repudiation",Formatação!J$4,IF($F282="Spoofing",Formatação!J$2,IF($F282="Tampering",Formatação!J$3, IF($F282="Denial of Service",Formatação!J$6,IF($F282="Elevation of Privilege",Formatação!J$7,IF($F282="Lateral Movement",Formatação!J$8,Errado)))))))</f>
        <v>Fraudes/Vazamento de dados</v>
      </c>
      <c r="H282" s="17" t="s">
        <v>23</v>
      </c>
      <c r="I282" s="17" t="s">
        <v>960</v>
      </c>
      <c r="J282" s="17" t="s">
        <v>1245</v>
      </c>
      <c r="K282" s="17" t="s">
        <v>847</v>
      </c>
      <c r="L282" s="17" t="s">
        <v>847</v>
      </c>
      <c r="M282" s="17" t="s">
        <v>847</v>
      </c>
      <c r="N282" s="17" t="s">
        <v>847</v>
      </c>
      <c r="O282" s="17" t="s">
        <v>1614</v>
      </c>
      <c r="P282" s="17" t="s">
        <v>848</v>
      </c>
      <c r="Q282" s="17" t="s">
        <v>848</v>
      </c>
      <c r="R282" s="17" t="s">
        <v>849</v>
      </c>
      <c r="S282" s="17" t="s">
        <v>849</v>
      </c>
      <c r="T282" s="17" t="s">
        <v>849</v>
      </c>
      <c r="U282" s="17" t="s">
        <v>849</v>
      </c>
      <c r="V282" s="17" t="s">
        <v>848</v>
      </c>
      <c r="W282" s="17">
        <f t="shared" si="14"/>
        <v>17</v>
      </c>
      <c r="X282" s="17" t="str">
        <f t="shared" si="15"/>
        <v>Alto</v>
      </c>
      <c r="Y282" s="17" t="s">
        <v>851</v>
      </c>
      <c r="Z282" s="17" t="e" vm="1">
        <f>VLOOKUP(Tabela7[[#This Row],[Controle]],[1]!Tabela135[#Data],33,FALSE)</f>
        <v>#REF!</v>
      </c>
      <c r="AA282" s="17" t="e" vm="1">
        <f>VLOOKUP(Tabela7[[#This Row],[Controle]],[1]!Tabela135[#Data],34,FALSE)</f>
        <v>#REF!</v>
      </c>
      <c r="AB282" s="17" t="s">
        <v>856</v>
      </c>
      <c r="AC282" s="17"/>
      <c r="AD282" s="17"/>
      <c r="AE282" s="17"/>
    </row>
    <row r="283" spans="1:31" ht="35.25" customHeight="1">
      <c r="A283" s="21" t="s">
        <v>2601</v>
      </c>
      <c r="B283" s="53" t="s">
        <v>1275</v>
      </c>
      <c r="C283" s="17" t="s">
        <v>833</v>
      </c>
      <c r="D283" s="17" t="s">
        <v>156</v>
      </c>
      <c r="E283" s="26" t="str" cm="1">
        <f t="array" ref="E283">IF($F283="Information Disclosure",Formatação!H$5,IF($F283="Repudiation",Formatação!H$4,IF($F283="Spoofing",Formatação!H$2,IF($F283="Tampering",Formatação!H$3, IF($F283="Denial of Service",Formatação!H$6,IF($F283="Elevation of Privilege",Formatação!H$7,IF($F283="Lateral Movement",Formatação!H$8,Errado)))))))</f>
        <v>Integridade</v>
      </c>
      <c r="F283" s="17" t="s">
        <v>25</v>
      </c>
      <c r="G283" s="17" t="str" cm="1">
        <f t="array" ref="G283">IF($F283="Information Disclosure",Formatação!J$5,IF($F283="Repudiation",Formatação!J$4,IF($F283="Spoofing",Formatação!J$2,IF($F283="Tampering",Formatação!J$3, IF($F283="Denial of Service",Formatação!J$6,IF($F283="Elevation of Privilege",Formatação!J$7,IF($F283="Lateral Movement",Formatação!J$8,Errado)))))))</f>
        <v>Danos a imagem</v>
      </c>
      <c r="H283" s="17" t="s">
        <v>375</v>
      </c>
      <c r="I283" s="17" t="s">
        <v>960</v>
      </c>
      <c r="J283" s="17" t="s">
        <v>1245</v>
      </c>
      <c r="K283" s="17" t="s">
        <v>847</v>
      </c>
      <c r="L283" s="17" t="s">
        <v>847</v>
      </c>
      <c r="M283" s="17" t="s">
        <v>1293</v>
      </c>
      <c r="N283" s="17" t="s">
        <v>1293</v>
      </c>
      <c r="O283" s="17" t="s">
        <v>848</v>
      </c>
      <c r="P283" s="17" t="s">
        <v>849</v>
      </c>
      <c r="Q283" s="17" t="s">
        <v>848</v>
      </c>
      <c r="R283" s="17" t="s">
        <v>849</v>
      </c>
      <c r="S283" s="17" t="s">
        <v>849</v>
      </c>
      <c r="T283" s="17" t="s">
        <v>849</v>
      </c>
      <c r="U283" s="17" t="s">
        <v>849</v>
      </c>
      <c r="V283" s="17" t="s">
        <v>850</v>
      </c>
      <c r="W283" s="17">
        <f t="shared" si="14"/>
        <v>18</v>
      </c>
      <c r="X283" s="17" t="str">
        <f t="shared" si="15"/>
        <v>Alto</v>
      </c>
      <c r="Y283" s="17" t="s">
        <v>851</v>
      </c>
      <c r="Z283" s="17" t="e" vm="1">
        <f>VLOOKUP(Tabela7[[#This Row],[Controle]],[1]!Tabela135[#Data],33,FALSE)</f>
        <v>#REF!</v>
      </c>
      <c r="AA283" s="17" t="e" vm="1">
        <f>VLOOKUP(Tabela7[[#This Row],[Controle]],[1]!Tabela135[#Data],34,FALSE)</f>
        <v>#REF!</v>
      </c>
      <c r="AB283" s="17" t="s">
        <v>978</v>
      </c>
      <c r="AC283" s="17"/>
      <c r="AD283" s="17"/>
      <c r="AE283" s="17"/>
    </row>
    <row r="284" spans="1:31" ht="35.25" customHeight="1">
      <c r="A284" s="21" t="s">
        <v>2602</v>
      </c>
      <c r="B284" s="53" t="s">
        <v>834</v>
      </c>
      <c r="C284" s="17" t="s">
        <v>835</v>
      </c>
      <c r="D284" s="17" t="s">
        <v>156</v>
      </c>
      <c r="E284" s="26" t="str" cm="1">
        <f t="array" ref="E284">IF($F284="Information Disclosure",Formatação!H$5,IF($F284="Repudiation",Formatação!H$4,IF($F284="Spoofing",Formatação!H$2,IF($F284="Tampering",Formatação!H$3, IF($F284="Denial of Service",Formatação!H$6,IF($F284="Elevation of Privilege",Formatação!H$7,IF($F284="Lateral Movement",Formatação!H$8,Errado)))))))</f>
        <v>Integridade</v>
      </c>
      <c r="F284" s="17" t="s">
        <v>25</v>
      </c>
      <c r="G284" s="17" t="str" cm="1">
        <f t="array" ref="G284">IF($F284="Information Disclosure",Formatação!J$5,IF($F284="Repudiation",Formatação!J$4,IF($F284="Spoofing",Formatação!J$2,IF($F284="Tampering",Formatação!J$3, IF($F284="Denial of Service",Formatação!J$6,IF($F284="Elevation of Privilege",Formatação!J$7,IF($F284="Lateral Movement",Formatação!J$8,Errado)))))))</f>
        <v>Danos a imagem</v>
      </c>
      <c r="H284" s="17" t="s">
        <v>26</v>
      </c>
      <c r="I284" s="17" t="s">
        <v>960</v>
      </c>
      <c r="J284" s="17" t="s">
        <v>1245</v>
      </c>
      <c r="K284" s="17" t="s">
        <v>847</v>
      </c>
      <c r="L284" s="17" t="s">
        <v>847</v>
      </c>
      <c r="M284" s="17" t="s">
        <v>1293</v>
      </c>
      <c r="N284" s="17" t="s">
        <v>1293</v>
      </c>
      <c r="O284" s="17" t="s">
        <v>848</v>
      </c>
      <c r="P284" s="17" t="s">
        <v>849</v>
      </c>
      <c r="Q284" s="17" t="s">
        <v>848</v>
      </c>
      <c r="R284" s="17" t="s">
        <v>849</v>
      </c>
      <c r="S284" s="17" t="s">
        <v>849</v>
      </c>
      <c r="T284" s="17" t="s">
        <v>849</v>
      </c>
      <c r="U284" s="17" t="s">
        <v>849</v>
      </c>
      <c r="V284" s="17" t="s">
        <v>848</v>
      </c>
      <c r="W284" s="17">
        <f t="shared" si="14"/>
        <v>19</v>
      </c>
      <c r="X284" s="17" t="str">
        <f t="shared" si="15"/>
        <v>Crítico</v>
      </c>
      <c r="Y284" s="17" t="s">
        <v>851</v>
      </c>
      <c r="Z284" s="17" t="s">
        <v>2603</v>
      </c>
      <c r="AA284" s="17" t="s">
        <v>2604</v>
      </c>
      <c r="AB284" s="17" t="s">
        <v>978</v>
      </c>
      <c r="AC284" s="17"/>
      <c r="AD284" s="17"/>
      <c r="AE284" s="17"/>
    </row>
    <row r="285" spans="1:31" ht="35.25" customHeight="1">
      <c r="A285" s="21" t="s">
        <v>2605</v>
      </c>
      <c r="B285" s="53" t="s">
        <v>291</v>
      </c>
      <c r="C285" s="17" t="s">
        <v>837</v>
      </c>
      <c r="D285" s="17" t="s">
        <v>156</v>
      </c>
      <c r="E285" s="26" t="str" cm="1">
        <f t="array" ref="E285">IF($F285="Information Disclosure",Formatação!H$5,IF($F285="Repudiation",Formatação!H$4,IF($F285="Spoofing",Formatação!H$2,IF($F285="Tampering",Formatação!H$3, IF($F285="Denial of Service",Formatação!H$6,IF($F285="Elevation of Privilege",Formatação!H$7,IF($F285="Lateral Movement",Formatação!H$8,Errado)))))))</f>
        <v>Confidencialidade</v>
      </c>
      <c r="F285" s="17" t="s">
        <v>35</v>
      </c>
      <c r="G285" s="17" t="str" cm="1">
        <f t="array" ref="G285">IF($F285="Information Disclosure",Formatação!J$5,IF($F285="Repudiation",Formatação!J$4,IF($F285="Spoofing",Formatação!J$2,IF($F285="Tampering",Formatação!J$3, IF($F285="Denial of Service",Formatação!J$6,IF($F285="Elevation of Privilege",Formatação!J$7,IF($F285="Lateral Movement",Formatação!J$8,Errado)))))))</f>
        <v>Vazamento de dados</v>
      </c>
      <c r="H285" s="17" t="s">
        <v>283</v>
      </c>
      <c r="I285" s="17" t="s">
        <v>960</v>
      </c>
      <c r="J285" s="17" t="s">
        <v>1245</v>
      </c>
      <c r="K285" s="17" t="s">
        <v>847</v>
      </c>
      <c r="L285" s="17" t="s">
        <v>847</v>
      </c>
      <c r="M285" s="17" t="s">
        <v>847</v>
      </c>
      <c r="N285" s="17" t="s">
        <v>1293</v>
      </c>
      <c r="O285" s="17" t="s">
        <v>1614</v>
      </c>
      <c r="P285" s="17" t="s">
        <v>849</v>
      </c>
      <c r="Q285" s="17" t="s">
        <v>848</v>
      </c>
      <c r="R285" s="17" t="s">
        <v>849</v>
      </c>
      <c r="S285" s="17" t="s">
        <v>849</v>
      </c>
      <c r="T285" s="17" t="s">
        <v>849</v>
      </c>
      <c r="U285" s="17" t="s">
        <v>849</v>
      </c>
      <c r="V285" s="17" t="s">
        <v>848</v>
      </c>
      <c r="W285" s="17">
        <f t="shared" si="14"/>
        <v>16</v>
      </c>
      <c r="X285" s="17" t="str">
        <f t="shared" si="15"/>
        <v>Alto</v>
      </c>
      <c r="Y285" s="17" t="s">
        <v>851</v>
      </c>
      <c r="Z285" s="17" t="e" vm="1">
        <f>VLOOKUP(Tabela7[[#This Row],[Controle]],[1]!Tabela135[#Data],33,FALSE)</f>
        <v>#REF!</v>
      </c>
      <c r="AA285" s="17" t="e" vm="1">
        <f>VLOOKUP(Tabela7[[#This Row],[Controle]],[1]!Tabela135[#Data],34,FALSE)</f>
        <v>#REF!</v>
      </c>
      <c r="AB285" s="17" t="s">
        <v>952</v>
      </c>
      <c r="AC285" s="17"/>
      <c r="AD285" s="17"/>
      <c r="AE285" s="17"/>
    </row>
    <row r="286" spans="1:31" ht="35.25" customHeight="1">
      <c r="A286" s="21" t="s">
        <v>2606</v>
      </c>
      <c r="B286" s="53" t="s">
        <v>551</v>
      </c>
      <c r="C286" s="17" t="s">
        <v>839</v>
      </c>
      <c r="D286" s="17" t="s">
        <v>156</v>
      </c>
      <c r="E286" s="26" t="str" cm="1">
        <f t="array" ref="E286">IF($F286="Information Disclosure",Formatação!H$5,IF($F286="Repudiation",Formatação!H$4,IF($F286="Spoofing",Formatação!H$2,IF($F286="Tampering",Formatação!H$3, IF($F286="Denial of Service",Formatação!H$6,IF($F286="Elevation of Privilege",Formatação!H$7,IF($F286="Lateral Movement",Formatação!H$8,Errado)))))))</f>
        <v>Confidencialidade</v>
      </c>
      <c r="F286" s="17" t="s">
        <v>35</v>
      </c>
      <c r="G286" s="17" t="str" cm="1">
        <f t="array" ref="G286">IF($F286="Information Disclosure",Formatação!J$5,IF($F286="Repudiation",Formatação!J$4,IF($F286="Spoofing",Formatação!J$2,IF($F286="Tampering",Formatação!J$3, IF($F286="Denial of Service",Formatação!J$6,IF($F286="Elevation of Privilege",Formatação!J$7,IF($F286="Lateral Movement",Formatação!J$8,Errado)))))))</f>
        <v>Vazamento de dados</v>
      </c>
      <c r="H286" s="17" t="s">
        <v>26</v>
      </c>
      <c r="I286" s="17" t="s">
        <v>960</v>
      </c>
      <c r="J286" s="17" t="s">
        <v>1245</v>
      </c>
      <c r="K286" s="17" t="s">
        <v>847</v>
      </c>
      <c r="L286" s="17" t="s">
        <v>1293</v>
      </c>
      <c r="M286" s="17" t="s">
        <v>1293</v>
      </c>
      <c r="N286" s="17" t="s">
        <v>1293</v>
      </c>
      <c r="O286" s="17" t="s">
        <v>848</v>
      </c>
      <c r="P286" s="17" t="s">
        <v>849</v>
      </c>
      <c r="Q286" s="17" t="s">
        <v>848</v>
      </c>
      <c r="R286" s="17" t="s">
        <v>849</v>
      </c>
      <c r="S286" s="17" t="s">
        <v>849</v>
      </c>
      <c r="T286" s="17" t="s">
        <v>849</v>
      </c>
      <c r="U286" s="17" t="s">
        <v>849</v>
      </c>
      <c r="V286" s="17" t="s">
        <v>848</v>
      </c>
      <c r="W286" s="17">
        <f t="shared" si="14"/>
        <v>19</v>
      </c>
      <c r="X286" s="17" t="str">
        <f t="shared" si="15"/>
        <v>Crítico</v>
      </c>
      <c r="Y286" s="17" t="s">
        <v>851</v>
      </c>
      <c r="Z286" s="17" t="s">
        <v>2607</v>
      </c>
      <c r="AA286" s="17" t="s">
        <v>2608</v>
      </c>
      <c r="AB286" s="17" t="s">
        <v>952</v>
      </c>
      <c r="AC286" s="17"/>
      <c r="AD286" s="17"/>
      <c r="AE286" s="17"/>
    </row>
    <row r="287" spans="1:31" ht="35.25" customHeight="1">
      <c r="A287" s="21" t="s">
        <v>2609</v>
      </c>
      <c r="B287" s="53" t="s">
        <v>543</v>
      </c>
      <c r="C287" s="17" t="s">
        <v>840</v>
      </c>
      <c r="D287" s="17" t="s">
        <v>156</v>
      </c>
      <c r="E287" s="26" t="str" cm="1">
        <f t="array" ref="E287">IF($F287="Information Disclosure",Formatação!H$5,IF($F287="Repudiation",Formatação!H$4,IF($F287="Spoofing",Formatação!H$2,IF($F287="Tampering",Formatação!H$3, IF($F287="Denial of Service",Formatação!H$6,IF($F287="Elevation of Privilege",Formatação!H$7,IF($F287="Lateral Movement",Formatação!H$8,Errado)))))))</f>
        <v>Autorização</v>
      </c>
      <c r="F287" s="17" t="s">
        <v>22</v>
      </c>
      <c r="G287" s="17" t="str" cm="1">
        <f t="array" ref="G287">IF($F287="Information Disclosure",Formatação!J$5,IF($F287="Repudiation",Formatação!J$4,IF($F287="Spoofing",Formatação!J$2,IF($F287="Tampering",Formatação!J$3, IF($F287="Denial of Service",Formatação!J$6,IF($F287="Elevation of Privilege",Formatação!J$7,IF($F287="Lateral Movement",Formatação!J$8,Errado)))))))</f>
        <v>Danos financeiros/Vazamento de dados</v>
      </c>
      <c r="H287" s="17" t="s">
        <v>26</v>
      </c>
      <c r="I287" s="17" t="s">
        <v>960</v>
      </c>
      <c r="J287" s="17" t="s">
        <v>1245</v>
      </c>
      <c r="K287" s="17" t="s">
        <v>847</v>
      </c>
      <c r="L287" s="17" t="s">
        <v>847</v>
      </c>
      <c r="M287" s="17" t="s">
        <v>1293</v>
      </c>
      <c r="N287" s="17" t="s">
        <v>1293</v>
      </c>
      <c r="O287" s="17" t="s">
        <v>848</v>
      </c>
      <c r="P287" s="17" t="s">
        <v>849</v>
      </c>
      <c r="Q287" s="17" t="s">
        <v>848</v>
      </c>
      <c r="R287" s="17" t="s">
        <v>849</v>
      </c>
      <c r="S287" s="17" t="s">
        <v>849</v>
      </c>
      <c r="T287" s="17" t="s">
        <v>849</v>
      </c>
      <c r="U287" s="17" t="s">
        <v>849</v>
      </c>
      <c r="V287" s="17" t="s">
        <v>848</v>
      </c>
      <c r="W287" s="17">
        <f t="shared" si="14"/>
        <v>19</v>
      </c>
      <c r="X287" s="17" t="str">
        <f t="shared" si="15"/>
        <v>Crítico</v>
      </c>
      <c r="Y287" s="17" t="s">
        <v>851</v>
      </c>
      <c r="Z287" s="17" t="s">
        <v>2610</v>
      </c>
      <c r="AA287" s="17" t="s">
        <v>2611</v>
      </c>
      <c r="AB287" s="17" t="s">
        <v>978</v>
      </c>
      <c r="AC287" s="17"/>
      <c r="AD287" s="17"/>
      <c r="AE287" s="17"/>
    </row>
    <row r="288" spans="1:31" ht="35.25" customHeight="1">
      <c r="A288" s="25" t="s">
        <v>2612</v>
      </c>
      <c r="B288" s="28" t="s">
        <v>1282</v>
      </c>
      <c r="C288" s="26" t="s">
        <v>842</v>
      </c>
      <c r="D288" s="26" t="s">
        <v>156</v>
      </c>
      <c r="E288" s="26" t="str" cm="1">
        <f t="array" ref="E288">IF($F288="Information Disclosure",Formatação!H$5,IF($F288="Repudiation",Formatação!H$4,IF($F288="Spoofing",Formatação!H$2,IF($F288="Tampering",Formatação!H$3, IF($F288="Denial of Service",Formatação!H$6,IF($F288="Elevation of Privilege",Formatação!H$7,IF($F288="Lateral Movement",Formatação!H$8,Errado)))))))</f>
        <v>Autorização</v>
      </c>
      <c r="F288" s="26" t="s">
        <v>22</v>
      </c>
      <c r="G288" s="26" t="str" cm="1">
        <f t="array" ref="G288">IF($F288="Information Disclosure",Formatação!J$5,IF($F288="Repudiation",Formatação!J$4,IF($F288="Spoofing",Formatação!J$2,IF($F288="Tampering",Formatação!J$3, IF($F288="Denial of Service",Formatação!J$6,IF($F288="Elevation of Privilege",Formatação!J$7,IF($F288="Lateral Movement",Formatação!J$8,Errado)))))))</f>
        <v>Danos financeiros/Vazamento de dados</v>
      </c>
      <c r="H288" s="26" t="s">
        <v>26</v>
      </c>
      <c r="I288" s="26" t="s">
        <v>960</v>
      </c>
      <c r="J288" s="26" t="s">
        <v>1245</v>
      </c>
      <c r="K288" s="26" t="s">
        <v>847</v>
      </c>
      <c r="L288" s="26" t="s">
        <v>847</v>
      </c>
      <c r="M288" s="26" t="s">
        <v>1293</v>
      </c>
      <c r="N288" s="26" t="s">
        <v>1293</v>
      </c>
      <c r="O288" s="26" t="s">
        <v>848</v>
      </c>
      <c r="P288" s="26" t="s">
        <v>849</v>
      </c>
      <c r="Q288" s="26" t="s">
        <v>849</v>
      </c>
      <c r="R288" s="26" t="s">
        <v>849</v>
      </c>
      <c r="S288" s="26" t="s">
        <v>849</v>
      </c>
      <c r="T288" s="26" t="s">
        <v>849</v>
      </c>
      <c r="U288" s="26" t="s">
        <v>849</v>
      </c>
      <c r="V288" s="26" t="s">
        <v>848</v>
      </c>
      <c r="W288" s="26">
        <f t="shared" si="14"/>
        <v>18</v>
      </c>
      <c r="X288" s="26" t="str">
        <f t="shared" si="15"/>
        <v>Alto</v>
      </c>
      <c r="Y288" s="26" t="s">
        <v>851</v>
      </c>
      <c r="Z288" s="17" t="e" vm="1">
        <f>VLOOKUP(Tabela7[[#This Row],[Controle]],[1]!Tabela135[#Data],33,FALSE)</f>
        <v>#REF!</v>
      </c>
      <c r="AA288" s="17" t="e" vm="1">
        <f>VLOOKUP(Tabela7[[#This Row],[Controle]],[1]!Tabela135[#Data],34,FALSE)</f>
        <v>#REF!</v>
      </c>
      <c r="AB288" s="26" t="s">
        <v>978</v>
      </c>
      <c r="AC288" s="26"/>
      <c r="AD288" s="26"/>
      <c r="AE288" s="26"/>
    </row>
    <row r="289" spans="1:31" ht="35.25" customHeight="1" thickBot="1">
      <c r="A289" s="21" t="s">
        <v>2613</v>
      </c>
      <c r="B289" s="53" t="s">
        <v>2614</v>
      </c>
      <c r="C289" s="17" t="s">
        <v>2615</v>
      </c>
      <c r="D289" s="17" t="s">
        <v>2616</v>
      </c>
      <c r="E289" s="83" t="s">
        <v>2617</v>
      </c>
      <c r="F289" s="17" t="s">
        <v>2618</v>
      </c>
      <c r="G289" s="17" t="s">
        <v>2619</v>
      </c>
      <c r="H289" s="17" t="s">
        <v>2620</v>
      </c>
      <c r="I289" s="17" t="s">
        <v>231</v>
      </c>
      <c r="J289" s="17" t="s">
        <v>2621</v>
      </c>
      <c r="K289" s="17" t="s">
        <v>847</v>
      </c>
      <c r="L289" s="17" t="s">
        <v>847</v>
      </c>
      <c r="M289" s="17" t="s">
        <v>847</v>
      </c>
      <c r="N289" s="17" t="s">
        <v>2622</v>
      </c>
      <c r="O289" s="17" t="s">
        <v>848</v>
      </c>
      <c r="P289" s="17" t="s">
        <v>848</v>
      </c>
      <c r="Q289" s="17" t="s">
        <v>848</v>
      </c>
      <c r="R289" s="17" t="s">
        <v>848</v>
      </c>
      <c r="S289" s="17" t="s">
        <v>848</v>
      </c>
      <c r="T289" s="17" t="s">
        <v>848</v>
      </c>
      <c r="U289" s="17" t="s">
        <v>848</v>
      </c>
      <c r="V289" s="17" t="s">
        <v>848</v>
      </c>
      <c r="W289" s="17">
        <v>18</v>
      </c>
      <c r="X289" s="17" t="s">
        <v>2623</v>
      </c>
      <c r="Y289" s="17" t="s">
        <v>851</v>
      </c>
      <c r="Z289" s="17" t="s">
        <v>2624</v>
      </c>
      <c r="AA289" s="17" t="s">
        <v>2625</v>
      </c>
      <c r="AB289" s="17"/>
      <c r="AC289" s="17"/>
      <c r="AD289" s="17"/>
      <c r="AE289" s="17"/>
    </row>
    <row r="290" spans="1:31" ht="35.25" customHeight="1" thickBot="1">
      <c r="A290" s="21" t="s">
        <v>2626</v>
      </c>
      <c r="B290" s="53" t="s">
        <v>2627</v>
      </c>
      <c r="C290" s="17" t="s">
        <v>2628</v>
      </c>
      <c r="D290" s="17" t="s">
        <v>2616</v>
      </c>
      <c r="E290" s="84" t="s">
        <v>2629</v>
      </c>
      <c r="F290" s="17" t="s">
        <v>2630</v>
      </c>
      <c r="G290" s="17" t="s">
        <v>2631</v>
      </c>
      <c r="H290" s="17" t="s">
        <v>2632</v>
      </c>
      <c r="I290" s="17" t="s">
        <v>231</v>
      </c>
      <c r="J290" s="17" t="s">
        <v>2633</v>
      </c>
      <c r="K290" s="17" t="s">
        <v>847</v>
      </c>
      <c r="L290" s="17" t="s">
        <v>847</v>
      </c>
      <c r="M290" s="17" t="s">
        <v>847</v>
      </c>
      <c r="N290" s="17" t="s">
        <v>60</v>
      </c>
      <c r="O290" s="17" t="s">
        <v>848</v>
      </c>
      <c r="P290" s="17" t="s">
        <v>848</v>
      </c>
      <c r="Q290" s="17" t="s">
        <v>848</v>
      </c>
      <c r="R290" s="17" t="s">
        <v>848</v>
      </c>
      <c r="S290" s="17" t="s">
        <v>848</v>
      </c>
      <c r="T290" s="17" t="s">
        <v>848</v>
      </c>
      <c r="U290" s="17" t="s">
        <v>848</v>
      </c>
      <c r="V290" s="17" t="s">
        <v>848</v>
      </c>
      <c r="W290" s="17">
        <v>15</v>
      </c>
      <c r="X290" s="17" t="s">
        <v>2634</v>
      </c>
      <c r="Y290" s="17" t="s">
        <v>851</v>
      </c>
      <c r="Z290" s="17" t="s">
        <v>2635</v>
      </c>
      <c r="AA290" s="17" t="s">
        <v>2636</v>
      </c>
      <c r="AB290" s="17"/>
      <c r="AC290" s="17"/>
      <c r="AD290" s="17"/>
      <c r="AE290" s="17"/>
    </row>
    <row r="291" spans="1:31" ht="35.25" customHeight="1" thickBot="1">
      <c r="A291" s="21" t="s">
        <v>2637</v>
      </c>
      <c r="B291" s="53" t="s">
        <v>2638</v>
      </c>
      <c r="C291" s="17" t="s">
        <v>2639</v>
      </c>
      <c r="D291" s="17" t="s">
        <v>2616</v>
      </c>
      <c r="E291" s="84" t="s">
        <v>448</v>
      </c>
      <c r="F291" s="17" t="s">
        <v>2640</v>
      </c>
      <c r="G291" s="17" t="s">
        <v>2641</v>
      </c>
      <c r="H291" s="17" t="s">
        <v>2642</v>
      </c>
      <c r="I291" s="17" t="s">
        <v>409</v>
      </c>
      <c r="J291" s="17" t="s">
        <v>2643</v>
      </c>
      <c r="K291" s="17" t="s">
        <v>847</v>
      </c>
      <c r="L291" s="17" t="s">
        <v>847</v>
      </c>
      <c r="M291" s="17" t="s">
        <v>847</v>
      </c>
      <c r="N291" s="17" t="s">
        <v>2622</v>
      </c>
      <c r="O291" s="17" t="s">
        <v>848</v>
      </c>
      <c r="P291" s="17" t="s">
        <v>848</v>
      </c>
      <c r="Q291" s="17" t="s">
        <v>848</v>
      </c>
      <c r="R291" s="17" t="s">
        <v>848</v>
      </c>
      <c r="S291" s="17" t="s">
        <v>848</v>
      </c>
      <c r="T291" s="17" t="s">
        <v>848</v>
      </c>
      <c r="U291" s="17" t="s">
        <v>848</v>
      </c>
      <c r="V291" s="17" t="s">
        <v>849</v>
      </c>
      <c r="W291" s="17">
        <v>16</v>
      </c>
      <c r="X291" s="17" t="s">
        <v>2634</v>
      </c>
      <c r="Y291" s="17" t="s">
        <v>851</v>
      </c>
      <c r="Z291" s="17" t="s">
        <v>2644</v>
      </c>
      <c r="AA291" s="17" t="s">
        <v>2645</v>
      </c>
      <c r="AB291" s="17"/>
      <c r="AC291" s="17"/>
      <c r="AD291" s="17"/>
      <c r="AE291" s="17"/>
    </row>
    <row r="292" spans="1:31" ht="35.25" customHeight="1" thickBot="1">
      <c r="A292" s="21" t="s">
        <v>2646</v>
      </c>
      <c r="B292" s="53" t="s">
        <v>2647</v>
      </c>
      <c r="C292" s="17" t="s">
        <v>2648</v>
      </c>
      <c r="D292" s="17" t="s">
        <v>2616</v>
      </c>
      <c r="E292" s="84" t="s">
        <v>2649</v>
      </c>
      <c r="F292" s="17" t="s">
        <v>2650</v>
      </c>
      <c r="G292" s="17" t="s">
        <v>2651</v>
      </c>
      <c r="H292" s="17" t="s">
        <v>2652</v>
      </c>
      <c r="I292" s="17" t="s">
        <v>231</v>
      </c>
      <c r="J292" s="17" t="s">
        <v>2653</v>
      </c>
      <c r="K292" s="17" t="s">
        <v>847</v>
      </c>
      <c r="L292" s="17" t="s">
        <v>847</v>
      </c>
      <c r="M292" s="17" t="s">
        <v>847</v>
      </c>
      <c r="N292" s="17" t="s">
        <v>60</v>
      </c>
      <c r="O292" s="17" t="s">
        <v>848</v>
      </c>
      <c r="P292" s="17" t="s">
        <v>849</v>
      </c>
      <c r="Q292" s="17" t="s">
        <v>848</v>
      </c>
      <c r="R292" s="17" t="s">
        <v>848</v>
      </c>
      <c r="S292" s="17" t="s">
        <v>849</v>
      </c>
      <c r="T292" s="17" t="s">
        <v>849</v>
      </c>
      <c r="U292" s="17" t="s">
        <v>849</v>
      </c>
      <c r="V292" s="17" t="s">
        <v>848</v>
      </c>
      <c r="W292" s="17">
        <v>12</v>
      </c>
      <c r="X292" s="17" t="s">
        <v>2654</v>
      </c>
      <c r="Y292" s="17" t="s">
        <v>2655</v>
      </c>
      <c r="Z292" s="17" t="s">
        <v>2656</v>
      </c>
      <c r="AA292" s="17" t="s">
        <v>2657</v>
      </c>
      <c r="AB292" s="17"/>
      <c r="AC292" s="17"/>
      <c r="AD292" s="17"/>
      <c r="AE292" s="17"/>
    </row>
    <row r="293" spans="1:31" ht="35.25" customHeight="1" thickBot="1">
      <c r="A293" s="21" t="s">
        <v>2658</v>
      </c>
      <c r="B293" s="53" t="s">
        <v>2659</v>
      </c>
      <c r="C293" s="17" t="s">
        <v>2660</v>
      </c>
      <c r="D293" s="17" t="s">
        <v>2616</v>
      </c>
      <c r="E293" s="84" t="s">
        <v>2661</v>
      </c>
      <c r="F293" s="17" t="s">
        <v>22</v>
      </c>
      <c r="G293" s="17" t="s">
        <v>2662</v>
      </c>
      <c r="H293" s="17" t="s">
        <v>2663</v>
      </c>
      <c r="I293" s="17" t="s">
        <v>409</v>
      </c>
      <c r="J293" s="17" t="s">
        <v>2664</v>
      </c>
      <c r="K293" s="17" t="s">
        <v>847</v>
      </c>
      <c r="L293" s="17" t="s">
        <v>847</v>
      </c>
      <c r="M293" s="17" t="s">
        <v>847</v>
      </c>
      <c r="N293" s="17" t="s">
        <v>2622</v>
      </c>
      <c r="O293" s="17" t="s">
        <v>848</v>
      </c>
      <c r="P293" s="17" t="s">
        <v>848</v>
      </c>
      <c r="Q293" s="17" t="s">
        <v>848</v>
      </c>
      <c r="R293" s="17" t="s">
        <v>848</v>
      </c>
      <c r="S293" s="17" t="s">
        <v>848</v>
      </c>
      <c r="T293" s="17" t="s">
        <v>848</v>
      </c>
      <c r="U293" s="17" t="s">
        <v>848</v>
      </c>
      <c r="V293" s="17" t="s">
        <v>849</v>
      </c>
      <c r="W293" s="17">
        <v>21</v>
      </c>
      <c r="X293" s="17" t="s">
        <v>2623</v>
      </c>
      <c r="Y293" s="17" t="s">
        <v>851</v>
      </c>
      <c r="Z293" s="17" t="s">
        <v>2665</v>
      </c>
      <c r="AA293" s="17" t="s">
        <v>2666</v>
      </c>
      <c r="AB293" s="17"/>
      <c r="AC293" s="17"/>
      <c r="AD293" s="17"/>
      <c r="AE293" s="17"/>
    </row>
    <row r="294" spans="1:31" ht="35.25" customHeight="1" thickBot="1">
      <c r="A294" s="21" t="s">
        <v>2667</v>
      </c>
      <c r="B294" s="53" t="s">
        <v>2668</v>
      </c>
      <c r="C294" s="17" t="s">
        <v>2669</v>
      </c>
      <c r="D294" s="17" t="s">
        <v>2616</v>
      </c>
      <c r="E294" s="84" t="s">
        <v>2670</v>
      </c>
      <c r="F294" s="17" t="s">
        <v>32</v>
      </c>
      <c r="G294" s="17" t="s">
        <v>2671</v>
      </c>
      <c r="H294" s="17" t="s">
        <v>2672</v>
      </c>
      <c r="I294" s="17" t="s">
        <v>453</v>
      </c>
      <c r="J294" s="17" t="s">
        <v>2673</v>
      </c>
      <c r="K294" s="17" t="s">
        <v>847</v>
      </c>
      <c r="L294" s="17" t="s">
        <v>847</v>
      </c>
      <c r="M294" s="17" t="s">
        <v>847</v>
      </c>
      <c r="N294" s="17" t="s">
        <v>60</v>
      </c>
      <c r="O294" s="17" t="s">
        <v>849</v>
      </c>
      <c r="P294" s="17" t="s">
        <v>849</v>
      </c>
      <c r="Q294" s="17" t="s">
        <v>849</v>
      </c>
      <c r="R294" s="17" t="s">
        <v>849</v>
      </c>
      <c r="S294" s="17" t="s">
        <v>849</v>
      </c>
      <c r="T294" s="17" t="s">
        <v>849</v>
      </c>
      <c r="U294" s="17" t="s">
        <v>849</v>
      </c>
      <c r="V294" s="17" t="s">
        <v>849</v>
      </c>
      <c r="W294" s="17">
        <v>16</v>
      </c>
      <c r="X294" s="17" t="s">
        <v>2634</v>
      </c>
      <c r="Y294" s="17" t="s">
        <v>2655</v>
      </c>
      <c r="Z294" s="17" t="s">
        <v>2674</v>
      </c>
      <c r="AA294" s="17" t="s">
        <v>2675</v>
      </c>
      <c r="AB294" s="17"/>
      <c r="AC294" s="17"/>
      <c r="AD294" s="17"/>
      <c r="AE294" s="17"/>
    </row>
    <row r="295" spans="1:31" ht="35.25" customHeight="1" thickBot="1">
      <c r="A295" s="21" t="s">
        <v>2676</v>
      </c>
      <c r="B295" s="53" t="s">
        <v>2677</v>
      </c>
      <c r="C295" s="17" t="s">
        <v>2678</v>
      </c>
      <c r="D295" s="17" t="s">
        <v>2616</v>
      </c>
      <c r="E295" s="84" t="s">
        <v>1298</v>
      </c>
      <c r="F295" s="17" t="s">
        <v>2679</v>
      </c>
      <c r="G295" s="17" t="s">
        <v>2680</v>
      </c>
      <c r="H295" s="17" t="s">
        <v>2681</v>
      </c>
      <c r="I295" s="17" t="s">
        <v>231</v>
      </c>
      <c r="J295" s="17" t="s">
        <v>2682</v>
      </c>
      <c r="K295" s="17" t="s">
        <v>847</v>
      </c>
      <c r="L295" s="17" t="s">
        <v>847</v>
      </c>
      <c r="M295" s="17" t="s">
        <v>847</v>
      </c>
      <c r="N295" s="17" t="s">
        <v>60</v>
      </c>
      <c r="O295" s="17" t="s">
        <v>848</v>
      </c>
      <c r="P295" s="17" t="s">
        <v>849</v>
      </c>
      <c r="Q295" s="17" t="s">
        <v>849</v>
      </c>
      <c r="R295" s="17" t="s">
        <v>848</v>
      </c>
      <c r="S295" s="17" t="s">
        <v>849</v>
      </c>
      <c r="T295" s="17" t="s">
        <v>849</v>
      </c>
      <c r="U295" s="17" t="s">
        <v>849</v>
      </c>
      <c r="V295" s="17" t="s">
        <v>848</v>
      </c>
      <c r="W295" s="17">
        <v>12</v>
      </c>
      <c r="X295" s="17" t="s">
        <v>2654</v>
      </c>
      <c r="Y295" s="17" t="s">
        <v>851</v>
      </c>
      <c r="Z295" s="17" t="s">
        <v>2683</v>
      </c>
      <c r="AA295" s="17" t="s">
        <v>2684</v>
      </c>
      <c r="AB295" s="17"/>
      <c r="AC295" s="17"/>
      <c r="AD295" s="17"/>
      <c r="AE295" s="17"/>
    </row>
    <row r="296" spans="1:31" ht="35.25" customHeight="1" thickBot="1">
      <c r="A296" s="21" t="s">
        <v>2685</v>
      </c>
      <c r="B296" s="53" t="s">
        <v>2686</v>
      </c>
      <c r="C296" s="17" t="s">
        <v>2687</v>
      </c>
      <c r="D296" s="17" t="s">
        <v>2616</v>
      </c>
      <c r="E296" s="84" t="s">
        <v>541</v>
      </c>
      <c r="F296" s="17" t="s">
        <v>239</v>
      </c>
      <c r="G296" s="17" t="s">
        <v>2688</v>
      </c>
      <c r="H296" s="17" t="s">
        <v>2689</v>
      </c>
      <c r="I296" s="17" t="s">
        <v>231</v>
      </c>
      <c r="J296" s="17" t="s">
        <v>2690</v>
      </c>
      <c r="K296" s="17" t="s">
        <v>847</v>
      </c>
      <c r="L296" s="17" t="s">
        <v>847</v>
      </c>
      <c r="M296" s="17" t="s">
        <v>847</v>
      </c>
      <c r="N296" s="17" t="s">
        <v>60</v>
      </c>
      <c r="O296" s="17" t="s">
        <v>848</v>
      </c>
      <c r="P296" s="17" t="s">
        <v>849</v>
      </c>
      <c r="Q296" s="17" t="s">
        <v>849</v>
      </c>
      <c r="R296" s="17" t="s">
        <v>849</v>
      </c>
      <c r="S296" s="17" t="s">
        <v>849</v>
      </c>
      <c r="T296" s="17" t="s">
        <v>849</v>
      </c>
      <c r="U296" s="17" t="s">
        <v>849</v>
      </c>
      <c r="V296" s="17" t="s">
        <v>848</v>
      </c>
      <c r="W296" s="17">
        <v>9</v>
      </c>
      <c r="X296" s="17" t="s">
        <v>2654</v>
      </c>
      <c r="Y296" s="17" t="s">
        <v>851</v>
      </c>
      <c r="Z296" s="17" t="s">
        <v>2691</v>
      </c>
      <c r="AA296" s="17" t="s">
        <v>2692</v>
      </c>
      <c r="AB296" s="17"/>
      <c r="AC296" s="17"/>
      <c r="AD296" s="17"/>
      <c r="AE296" s="17"/>
    </row>
    <row r="297" spans="1:31" ht="35.25" customHeight="1" thickBot="1">
      <c r="A297" s="21" t="s">
        <v>2693</v>
      </c>
      <c r="B297" s="53" t="s">
        <v>2694</v>
      </c>
      <c r="C297" s="17" t="s">
        <v>2695</v>
      </c>
      <c r="D297" s="17" t="s">
        <v>2616</v>
      </c>
      <c r="E297" s="84" t="s">
        <v>448</v>
      </c>
      <c r="F297" s="17" t="s">
        <v>35</v>
      </c>
      <c r="G297" s="17" t="s">
        <v>2696</v>
      </c>
      <c r="H297" s="17" t="s">
        <v>2697</v>
      </c>
      <c r="I297" s="17" t="s">
        <v>231</v>
      </c>
      <c r="J297" s="17" t="s">
        <v>2698</v>
      </c>
      <c r="K297" s="17" t="s">
        <v>847</v>
      </c>
      <c r="L297" s="17" t="s">
        <v>847</v>
      </c>
      <c r="M297" s="17" t="s">
        <v>847</v>
      </c>
      <c r="N297" s="17" t="s">
        <v>60</v>
      </c>
      <c r="O297" s="17" t="s">
        <v>849</v>
      </c>
      <c r="P297" s="17" t="s">
        <v>849</v>
      </c>
      <c r="Q297" s="17" t="s">
        <v>849</v>
      </c>
      <c r="R297" s="17" t="s">
        <v>849</v>
      </c>
      <c r="S297" s="17" t="s">
        <v>849</v>
      </c>
      <c r="T297" s="17" t="s">
        <v>849</v>
      </c>
      <c r="U297" s="17" t="s">
        <v>849</v>
      </c>
      <c r="V297" s="17" t="s">
        <v>849</v>
      </c>
      <c r="W297" s="17">
        <v>9</v>
      </c>
      <c r="X297" s="17" t="s">
        <v>2654</v>
      </c>
      <c r="Y297" s="17" t="s">
        <v>851</v>
      </c>
      <c r="Z297" s="17" t="s">
        <v>2699</v>
      </c>
      <c r="AA297" s="17" t="s">
        <v>2700</v>
      </c>
      <c r="AB297" s="17"/>
      <c r="AC297" s="17"/>
      <c r="AD297" s="17"/>
      <c r="AE297" s="17"/>
    </row>
    <row r="298" spans="1:31" ht="35.25" customHeight="1" thickBot="1">
      <c r="A298" s="21" t="s">
        <v>2701</v>
      </c>
      <c r="B298" s="53" t="s">
        <v>2702</v>
      </c>
      <c r="C298" s="17" t="s">
        <v>2703</v>
      </c>
      <c r="D298" s="17" t="s">
        <v>2704</v>
      </c>
      <c r="E298" s="84" t="s">
        <v>2705</v>
      </c>
      <c r="F298" s="17" t="s">
        <v>22</v>
      </c>
      <c r="G298" s="17" t="s">
        <v>2706</v>
      </c>
      <c r="H298" s="17" t="s">
        <v>2707</v>
      </c>
      <c r="I298" s="17" t="s">
        <v>409</v>
      </c>
      <c r="J298" s="17" t="s">
        <v>2708</v>
      </c>
      <c r="K298" s="17" t="s">
        <v>847</v>
      </c>
      <c r="L298" s="17" t="s">
        <v>847</v>
      </c>
      <c r="M298" s="17" t="s">
        <v>847</v>
      </c>
      <c r="N298" s="17" t="s">
        <v>2709</v>
      </c>
      <c r="O298" s="17" t="s">
        <v>849</v>
      </c>
      <c r="P298" s="17" t="s">
        <v>848</v>
      </c>
      <c r="Q298" s="17" t="s">
        <v>848</v>
      </c>
      <c r="R298" s="17" t="s">
        <v>848</v>
      </c>
      <c r="S298" s="17" t="s">
        <v>848</v>
      </c>
      <c r="T298" s="17" t="s">
        <v>849</v>
      </c>
      <c r="U298" s="17" t="s">
        <v>849</v>
      </c>
      <c r="V298" s="17" t="s">
        <v>848</v>
      </c>
      <c r="W298" s="17">
        <v>9</v>
      </c>
      <c r="X298" s="17" t="s">
        <v>2654</v>
      </c>
      <c r="Y298" s="17" t="s">
        <v>851</v>
      </c>
      <c r="Z298" s="17" t="s">
        <v>2710</v>
      </c>
      <c r="AA298" s="17" t="s">
        <v>2711</v>
      </c>
      <c r="AB298" s="17"/>
      <c r="AC298" s="17"/>
      <c r="AD298" s="17"/>
      <c r="AE298" s="17"/>
    </row>
    <row r="299" spans="1:31" ht="35.25" customHeight="1" thickBot="1">
      <c r="A299" s="21" t="s">
        <v>2712</v>
      </c>
      <c r="B299" s="53" t="s">
        <v>2713</v>
      </c>
      <c r="C299" s="17" t="s">
        <v>2714</v>
      </c>
      <c r="D299" s="17" t="s">
        <v>2616</v>
      </c>
      <c r="E299" s="84" t="s">
        <v>2715</v>
      </c>
      <c r="F299" s="17" t="s">
        <v>102</v>
      </c>
      <c r="G299" s="17" t="s">
        <v>2716</v>
      </c>
      <c r="H299" s="17" t="s">
        <v>2717</v>
      </c>
      <c r="I299" s="17" t="s">
        <v>409</v>
      </c>
      <c r="J299" s="17" t="s">
        <v>2718</v>
      </c>
      <c r="K299" s="17" t="s">
        <v>847</v>
      </c>
      <c r="L299" s="17" t="s">
        <v>847</v>
      </c>
      <c r="M299" s="17" t="s">
        <v>847</v>
      </c>
      <c r="N299" s="17" t="s">
        <v>2622</v>
      </c>
      <c r="O299" s="17" t="s">
        <v>848</v>
      </c>
      <c r="P299" s="17" t="s">
        <v>848</v>
      </c>
      <c r="Q299" s="17" t="s">
        <v>848</v>
      </c>
      <c r="R299" s="17" t="s">
        <v>848</v>
      </c>
      <c r="S299" s="17" t="s">
        <v>848</v>
      </c>
      <c r="T299" s="17" t="s">
        <v>849</v>
      </c>
      <c r="U299" s="17" t="s">
        <v>849</v>
      </c>
      <c r="V299" s="17" t="s">
        <v>849</v>
      </c>
      <c r="W299" s="17">
        <v>9</v>
      </c>
      <c r="X299" s="17" t="s">
        <v>2654</v>
      </c>
      <c r="Y299" s="17" t="s">
        <v>851</v>
      </c>
      <c r="Z299" s="17" t="s">
        <v>2719</v>
      </c>
      <c r="AA299" s="17" t="s">
        <v>2720</v>
      </c>
      <c r="AB299" s="17"/>
      <c r="AC299" s="17"/>
      <c r="AD299" s="17"/>
      <c r="AE299" s="17"/>
    </row>
    <row r="300" spans="1:31" ht="35.25" customHeight="1" thickBot="1">
      <c r="A300" s="21" t="s">
        <v>2721</v>
      </c>
      <c r="B300" s="53" t="s">
        <v>2722</v>
      </c>
      <c r="C300" s="17" t="s">
        <v>2723</v>
      </c>
      <c r="D300" s="17" t="s">
        <v>2724</v>
      </c>
      <c r="E300" s="84" t="s">
        <v>2725</v>
      </c>
      <c r="F300" s="17" t="s">
        <v>102</v>
      </c>
      <c r="G300" s="17" t="s">
        <v>2726</v>
      </c>
      <c r="H300" s="17" t="s">
        <v>2727</v>
      </c>
      <c r="I300" s="17" t="s">
        <v>964</v>
      </c>
      <c r="J300" s="17" t="s">
        <v>2728</v>
      </c>
      <c r="K300" s="17" t="s">
        <v>1293</v>
      </c>
      <c r="L300" s="17" t="s">
        <v>1293</v>
      </c>
      <c r="M300" s="17" t="s">
        <v>1293</v>
      </c>
      <c r="N300" s="17" t="s">
        <v>2709</v>
      </c>
      <c r="O300" s="17" t="s">
        <v>849</v>
      </c>
      <c r="P300" s="17" t="s">
        <v>848</v>
      </c>
      <c r="Q300" s="17" t="s">
        <v>849</v>
      </c>
      <c r="R300" s="17" t="s">
        <v>848</v>
      </c>
      <c r="S300" s="17" t="s">
        <v>848</v>
      </c>
      <c r="T300" s="17" t="s">
        <v>849</v>
      </c>
      <c r="U300" s="17" t="s">
        <v>848</v>
      </c>
      <c r="V300" s="17" t="s">
        <v>848</v>
      </c>
      <c r="W300" s="17">
        <v>6</v>
      </c>
      <c r="X300" s="17" t="s">
        <v>2729</v>
      </c>
      <c r="Y300" s="17" t="s">
        <v>851</v>
      </c>
      <c r="Z300" s="17" t="s">
        <v>2730</v>
      </c>
      <c r="AA300" s="17" t="s">
        <v>2731</v>
      </c>
      <c r="AB300" s="17"/>
      <c r="AC300" s="17"/>
      <c r="AD300" s="17"/>
      <c r="AE300" s="17"/>
    </row>
    <row r="301" spans="1:31" ht="35.25" customHeight="1" thickBot="1">
      <c r="A301" s="21" t="s">
        <v>2732</v>
      </c>
      <c r="B301" s="53" t="s">
        <v>2733</v>
      </c>
      <c r="C301" s="17" t="s">
        <v>2734</v>
      </c>
      <c r="D301" s="17" t="s">
        <v>2735</v>
      </c>
      <c r="E301" s="84" t="s">
        <v>2725</v>
      </c>
      <c r="F301" s="17" t="s">
        <v>35</v>
      </c>
      <c r="G301" s="17" t="s">
        <v>2736</v>
      </c>
      <c r="H301" s="17" t="s">
        <v>2737</v>
      </c>
      <c r="I301" s="17" t="s">
        <v>964</v>
      </c>
      <c r="J301" s="17" t="s">
        <v>2738</v>
      </c>
      <c r="K301" s="17" t="s">
        <v>847</v>
      </c>
      <c r="L301" s="17" t="s">
        <v>847</v>
      </c>
      <c r="M301" s="17" t="s">
        <v>847</v>
      </c>
      <c r="N301" s="17" t="s">
        <v>60</v>
      </c>
      <c r="O301" s="17" t="s">
        <v>849</v>
      </c>
      <c r="P301" s="17" t="s">
        <v>849</v>
      </c>
      <c r="Q301" s="17" t="s">
        <v>849</v>
      </c>
      <c r="R301" s="17" t="s">
        <v>849</v>
      </c>
      <c r="S301" s="17" t="s">
        <v>849</v>
      </c>
      <c r="T301" s="17" t="s">
        <v>849</v>
      </c>
      <c r="U301" s="17" t="s">
        <v>849</v>
      </c>
      <c r="V301" s="17" t="s">
        <v>849</v>
      </c>
      <c r="W301" s="17">
        <v>16</v>
      </c>
      <c r="X301" s="17" t="s">
        <v>2634</v>
      </c>
      <c r="Y301" s="17" t="s">
        <v>851</v>
      </c>
      <c r="Z301" s="17" t="s">
        <v>2739</v>
      </c>
      <c r="AA301" s="17" t="s">
        <v>2740</v>
      </c>
      <c r="AB301" s="17"/>
      <c r="AC301" s="17"/>
      <c r="AD301" s="17"/>
      <c r="AE301" s="17"/>
    </row>
    <row r="302" spans="1:31" ht="35.25" customHeight="1" thickBot="1">
      <c r="A302" s="21" t="s">
        <v>2741</v>
      </c>
      <c r="B302" s="53" t="s">
        <v>2742</v>
      </c>
      <c r="C302" s="17" t="s">
        <v>2743</v>
      </c>
      <c r="D302" s="17" t="s">
        <v>2735</v>
      </c>
      <c r="E302" s="85" t="s">
        <v>2725</v>
      </c>
      <c r="F302" s="17" t="s">
        <v>35</v>
      </c>
      <c r="G302" s="17" t="s">
        <v>2744</v>
      </c>
      <c r="H302" s="17" t="s">
        <v>2745</v>
      </c>
      <c r="I302" s="17" t="s">
        <v>964</v>
      </c>
      <c r="J302" s="17" t="s">
        <v>2738</v>
      </c>
      <c r="K302" s="17" t="s">
        <v>847</v>
      </c>
      <c r="L302" s="17" t="s">
        <v>847</v>
      </c>
      <c r="M302" s="17" t="s">
        <v>847</v>
      </c>
      <c r="N302" s="17" t="s">
        <v>60</v>
      </c>
      <c r="O302" s="17" t="s">
        <v>848</v>
      </c>
      <c r="P302" s="17" t="s">
        <v>848</v>
      </c>
      <c r="Q302" s="17" t="s">
        <v>848</v>
      </c>
      <c r="R302" s="17" t="s">
        <v>848</v>
      </c>
      <c r="S302" s="17" t="s">
        <v>848</v>
      </c>
      <c r="T302" s="17" t="s">
        <v>848</v>
      </c>
      <c r="U302" s="17" t="s">
        <v>848</v>
      </c>
      <c r="V302" s="17" t="s">
        <v>849</v>
      </c>
      <c r="W302" s="17">
        <v>9</v>
      </c>
      <c r="X302" s="17" t="s">
        <v>2654</v>
      </c>
      <c r="Y302" s="17" t="s">
        <v>851</v>
      </c>
      <c r="Z302" s="17" t="s">
        <v>2746</v>
      </c>
      <c r="AA302" s="17" t="s">
        <v>2747</v>
      </c>
      <c r="AB302" s="17"/>
      <c r="AC302" s="17"/>
      <c r="AD302" s="17"/>
      <c r="AE302" s="17"/>
    </row>
    <row r="303" spans="1:31" ht="35.25" customHeight="1" thickBot="1">
      <c r="A303" s="21" t="s">
        <v>2748</v>
      </c>
      <c r="B303" s="53" t="s">
        <v>2749</v>
      </c>
      <c r="C303" s="17" t="s">
        <v>2750</v>
      </c>
      <c r="D303" s="17" t="s">
        <v>2751</v>
      </c>
      <c r="E303" s="84" t="s">
        <v>1298</v>
      </c>
      <c r="F303" s="17" t="s">
        <v>2752</v>
      </c>
      <c r="G303" s="17" t="s">
        <v>2753</v>
      </c>
      <c r="H303" s="17" t="s">
        <v>2754</v>
      </c>
      <c r="I303" s="17" t="s">
        <v>964</v>
      </c>
      <c r="J303" s="17" t="s">
        <v>2755</v>
      </c>
      <c r="K303" s="17" t="s">
        <v>847</v>
      </c>
      <c r="L303" s="17" t="s">
        <v>847</v>
      </c>
      <c r="M303" s="17" t="s">
        <v>847</v>
      </c>
      <c r="N303" s="17" t="s">
        <v>60</v>
      </c>
      <c r="O303" s="17" t="s">
        <v>848</v>
      </c>
      <c r="P303" s="17" t="s">
        <v>848</v>
      </c>
      <c r="Q303" s="17" t="s">
        <v>848</v>
      </c>
      <c r="R303" s="17" t="s">
        <v>848</v>
      </c>
      <c r="S303" s="17" t="s">
        <v>848</v>
      </c>
      <c r="T303" s="17" t="s">
        <v>848</v>
      </c>
      <c r="U303" s="17" t="s">
        <v>848</v>
      </c>
      <c r="V303" s="17" t="s">
        <v>848</v>
      </c>
      <c r="W303" s="17">
        <v>9</v>
      </c>
      <c r="X303" s="17" t="s">
        <v>2654</v>
      </c>
      <c r="Y303" s="17" t="s">
        <v>2655</v>
      </c>
      <c r="Z303" s="17" t="s">
        <v>2756</v>
      </c>
      <c r="AA303" s="17" t="s">
        <v>2757</v>
      </c>
      <c r="AB303" s="17"/>
      <c r="AC303" s="17"/>
      <c r="AD303" s="17"/>
      <c r="AE303" s="17"/>
    </row>
    <row r="304" spans="1:31" ht="35.25" customHeight="1">
      <c r="A304" s="21" t="s">
        <v>2758</v>
      </c>
      <c r="B304" s="53" t="s">
        <v>2759</v>
      </c>
      <c r="C304" s="17" t="s">
        <v>2760</v>
      </c>
      <c r="D304" s="17" t="s">
        <v>2761</v>
      </c>
      <c r="E304" s="85" t="s">
        <v>2762</v>
      </c>
      <c r="F304" s="17" t="s">
        <v>2763</v>
      </c>
      <c r="G304" s="17" t="s">
        <v>2764</v>
      </c>
      <c r="H304" s="17" t="s">
        <v>2765</v>
      </c>
      <c r="I304" s="17" t="s">
        <v>964</v>
      </c>
      <c r="J304" s="17" t="s">
        <v>2766</v>
      </c>
      <c r="K304" s="17" t="s">
        <v>847</v>
      </c>
      <c r="L304" s="17" t="s">
        <v>847</v>
      </c>
      <c r="M304" s="17" t="s">
        <v>847</v>
      </c>
      <c r="N304" s="17" t="s">
        <v>60</v>
      </c>
      <c r="O304" s="17" t="s">
        <v>848</v>
      </c>
      <c r="P304" s="17" t="s">
        <v>848</v>
      </c>
      <c r="Q304" s="17" t="s">
        <v>848</v>
      </c>
      <c r="R304" s="17" t="s">
        <v>848</v>
      </c>
      <c r="S304" s="17" t="s">
        <v>848</v>
      </c>
      <c r="T304" s="17" t="s">
        <v>848</v>
      </c>
      <c r="U304" s="17" t="s">
        <v>848</v>
      </c>
      <c r="V304" s="17" t="s">
        <v>848</v>
      </c>
      <c r="W304" s="17">
        <v>12</v>
      </c>
      <c r="X304" s="17" t="s">
        <v>2654</v>
      </c>
      <c r="Y304" s="17" t="s">
        <v>851</v>
      </c>
      <c r="Z304" s="17" t="s">
        <v>2767</v>
      </c>
      <c r="AA304" s="17" t="s">
        <v>2768</v>
      </c>
      <c r="AB304" s="17"/>
      <c r="AC304" s="17"/>
      <c r="AD304" s="17"/>
      <c r="AE304" s="17"/>
    </row>
    <row r="305" spans="1:31" ht="35.25" customHeight="1">
      <c r="A305" s="21" t="s">
        <v>2769</v>
      </c>
      <c r="B305" s="53" t="s">
        <v>2770</v>
      </c>
      <c r="C305" s="17" t="s">
        <v>2771</v>
      </c>
      <c r="D305" s="17" t="s">
        <v>2616</v>
      </c>
      <c r="E305" s="85" t="s">
        <v>459</v>
      </c>
      <c r="F305" s="17" t="s">
        <v>2640</v>
      </c>
      <c r="G305" s="17" t="s">
        <v>2772</v>
      </c>
      <c r="H305" s="17" t="s">
        <v>2773</v>
      </c>
      <c r="I305" s="17" t="s">
        <v>964</v>
      </c>
      <c r="J305" s="17" t="s">
        <v>2774</v>
      </c>
      <c r="K305" s="17" t="s">
        <v>847</v>
      </c>
      <c r="L305" s="17" t="s">
        <v>847</v>
      </c>
      <c r="M305" s="17" t="s">
        <v>847</v>
      </c>
      <c r="N305" s="17" t="s">
        <v>60</v>
      </c>
      <c r="O305" s="17" t="s">
        <v>848</v>
      </c>
      <c r="P305" s="17" t="s">
        <v>848</v>
      </c>
      <c r="Q305" s="17" t="s">
        <v>848</v>
      </c>
      <c r="R305" s="17" t="s">
        <v>848</v>
      </c>
      <c r="S305" s="17" t="s">
        <v>848</v>
      </c>
      <c r="T305" s="17" t="s">
        <v>848</v>
      </c>
      <c r="U305" s="17" t="s">
        <v>848</v>
      </c>
      <c r="V305" s="17" t="s">
        <v>848</v>
      </c>
      <c r="W305" s="17">
        <v>9</v>
      </c>
      <c r="X305" s="17" t="s">
        <v>2654</v>
      </c>
      <c r="Y305" s="17" t="s">
        <v>851</v>
      </c>
      <c r="Z305" s="17" t="s">
        <v>2775</v>
      </c>
      <c r="AA305" s="17" t="s">
        <v>2776</v>
      </c>
      <c r="AB305" s="17"/>
      <c r="AC305" s="17"/>
      <c r="AD305" s="17"/>
      <c r="AE305" s="17"/>
    </row>
    <row r="306" spans="1:31" ht="35.25" customHeight="1">
      <c r="A306" s="21" t="s">
        <v>2777</v>
      </c>
      <c r="B306" s="53" t="s">
        <v>2778</v>
      </c>
      <c r="C306" s="17" t="s">
        <v>2779</v>
      </c>
      <c r="D306" s="17" t="s">
        <v>2616</v>
      </c>
      <c r="E306" s="85" t="s">
        <v>1296</v>
      </c>
      <c r="F306" s="17" t="s">
        <v>239</v>
      </c>
      <c r="G306" s="17" t="s">
        <v>2780</v>
      </c>
      <c r="H306" s="17" t="s">
        <v>2781</v>
      </c>
      <c r="I306" s="17" t="s">
        <v>1178</v>
      </c>
      <c r="J306" s="17" t="s">
        <v>2782</v>
      </c>
      <c r="K306" s="17" t="s">
        <v>847</v>
      </c>
      <c r="L306" s="17" t="s">
        <v>847</v>
      </c>
      <c r="M306" s="17" t="s">
        <v>847</v>
      </c>
      <c r="N306" s="17" t="s">
        <v>60</v>
      </c>
      <c r="O306" s="17" t="s">
        <v>849</v>
      </c>
      <c r="P306" s="17" t="s">
        <v>849</v>
      </c>
      <c r="Q306" s="17" t="s">
        <v>849</v>
      </c>
      <c r="R306" s="17" t="s">
        <v>849</v>
      </c>
      <c r="S306" s="17" t="s">
        <v>849</v>
      </c>
      <c r="T306" s="17" t="s">
        <v>848</v>
      </c>
      <c r="U306" s="17" t="s">
        <v>848</v>
      </c>
      <c r="V306" s="17" t="s">
        <v>848</v>
      </c>
      <c r="W306" s="17">
        <v>14</v>
      </c>
      <c r="X306" s="17" t="s">
        <v>2634</v>
      </c>
      <c r="Y306" s="17" t="s">
        <v>851</v>
      </c>
      <c r="Z306" s="17" t="s">
        <v>2783</v>
      </c>
      <c r="AA306" s="17" t="s">
        <v>2784</v>
      </c>
      <c r="AB306" s="17"/>
      <c r="AC306" s="17"/>
      <c r="AD306" s="17"/>
      <c r="AE306" s="17"/>
    </row>
    <row r="307" spans="1:31" ht="35.25" customHeight="1">
      <c r="A307" s="21" t="s">
        <v>2785</v>
      </c>
      <c r="B307" s="53" t="s">
        <v>2786</v>
      </c>
      <c r="C307" s="17" t="s">
        <v>2787</v>
      </c>
      <c r="D307" s="17" t="s">
        <v>2616</v>
      </c>
      <c r="E307" s="85" t="s">
        <v>448</v>
      </c>
      <c r="F307" s="17" t="s">
        <v>35</v>
      </c>
      <c r="G307" s="17" t="s">
        <v>2788</v>
      </c>
      <c r="H307" s="17" t="s">
        <v>2789</v>
      </c>
      <c r="I307" s="17" t="s">
        <v>410</v>
      </c>
      <c r="J307" s="17" t="s">
        <v>2790</v>
      </c>
      <c r="K307" s="17" t="s">
        <v>16</v>
      </c>
      <c r="L307" s="17" t="s">
        <v>847</v>
      </c>
      <c r="M307" s="17" t="s">
        <v>847</v>
      </c>
      <c r="N307" s="17" t="s">
        <v>2622</v>
      </c>
      <c r="O307" s="17" t="s">
        <v>848</v>
      </c>
      <c r="P307" s="17" t="s">
        <v>848</v>
      </c>
      <c r="Q307" s="17" t="s">
        <v>848</v>
      </c>
      <c r="R307" s="17" t="s">
        <v>848</v>
      </c>
      <c r="S307" s="17" t="s">
        <v>848</v>
      </c>
      <c r="T307" s="17" t="s">
        <v>848</v>
      </c>
      <c r="U307" s="17" t="s">
        <v>848</v>
      </c>
      <c r="V307" s="17" t="s">
        <v>848</v>
      </c>
      <c r="W307" s="17">
        <v>9</v>
      </c>
      <c r="X307" s="17" t="s">
        <v>2654</v>
      </c>
      <c r="Y307" s="17" t="s">
        <v>851</v>
      </c>
      <c r="Z307" s="17" t="s">
        <v>2791</v>
      </c>
      <c r="AA307" s="17" t="s">
        <v>2792</v>
      </c>
      <c r="AB307" s="17"/>
      <c r="AC307" s="17"/>
      <c r="AD307" s="17"/>
      <c r="AE307" s="17"/>
    </row>
    <row r="308" spans="1:31" ht="35.25" customHeight="1">
      <c r="A308" s="21" t="s">
        <v>2793</v>
      </c>
      <c r="B308" s="53" t="s">
        <v>2794</v>
      </c>
      <c r="C308" s="17" t="s">
        <v>2795</v>
      </c>
      <c r="D308" s="17" t="s">
        <v>2796</v>
      </c>
      <c r="E308" s="85" t="s">
        <v>2797</v>
      </c>
      <c r="F308" s="17" t="s">
        <v>32</v>
      </c>
      <c r="G308" s="17" t="s">
        <v>2798</v>
      </c>
      <c r="H308" s="17" t="s">
        <v>2799</v>
      </c>
      <c r="I308" s="17" t="s">
        <v>2800</v>
      </c>
      <c r="J308" s="17" t="s">
        <v>2801</v>
      </c>
      <c r="K308" s="17" t="s">
        <v>16</v>
      </c>
      <c r="L308" s="17" t="s">
        <v>847</v>
      </c>
      <c r="M308" s="17" t="s">
        <v>847</v>
      </c>
      <c r="N308" s="17" t="s">
        <v>60</v>
      </c>
      <c r="O308" s="17" t="s">
        <v>849</v>
      </c>
      <c r="P308" s="17" t="s">
        <v>849</v>
      </c>
      <c r="Q308" s="17" t="s">
        <v>849</v>
      </c>
      <c r="R308" s="17" t="s">
        <v>849</v>
      </c>
      <c r="S308" s="17" t="s">
        <v>849</v>
      </c>
      <c r="T308" s="17" t="s">
        <v>849</v>
      </c>
      <c r="U308" s="17" t="s">
        <v>849</v>
      </c>
      <c r="V308" s="17" t="s">
        <v>849</v>
      </c>
      <c r="W308" s="17">
        <v>16</v>
      </c>
      <c r="X308" s="17" t="s">
        <v>2634</v>
      </c>
      <c r="Y308" s="17" t="s">
        <v>2655</v>
      </c>
      <c r="Z308" s="17" t="s">
        <v>2802</v>
      </c>
      <c r="AA308" s="17" t="s">
        <v>2803</v>
      </c>
      <c r="AB308" s="17"/>
      <c r="AC308" s="17"/>
      <c r="AD308" s="17"/>
      <c r="AE308" s="17"/>
    </row>
    <row r="309" spans="1:31" ht="35.25" customHeight="1">
      <c r="A309" s="21" t="s">
        <v>2804</v>
      </c>
      <c r="B309" s="53" t="s">
        <v>2805</v>
      </c>
      <c r="C309" s="17" t="s">
        <v>2806</v>
      </c>
      <c r="D309" s="17" t="s">
        <v>2616</v>
      </c>
      <c r="E309" s="85" t="s">
        <v>459</v>
      </c>
      <c r="F309" s="17" t="s">
        <v>102</v>
      </c>
      <c r="G309" s="17" t="s">
        <v>2807</v>
      </c>
      <c r="H309" s="17" t="s">
        <v>2808</v>
      </c>
      <c r="I309" s="17" t="s">
        <v>357</v>
      </c>
      <c r="J309" s="17" t="s">
        <v>2809</v>
      </c>
      <c r="K309" s="17" t="s">
        <v>16</v>
      </c>
      <c r="L309" s="17" t="s">
        <v>847</v>
      </c>
      <c r="M309" s="17" t="s">
        <v>847</v>
      </c>
      <c r="N309" s="17" t="s">
        <v>2622</v>
      </c>
      <c r="O309" s="17" t="s">
        <v>848</v>
      </c>
      <c r="P309" s="17" t="s">
        <v>848</v>
      </c>
      <c r="Q309" s="17" t="s">
        <v>848</v>
      </c>
      <c r="R309" s="17" t="s">
        <v>848</v>
      </c>
      <c r="S309" s="17" t="s">
        <v>848</v>
      </c>
      <c r="T309" s="17" t="s">
        <v>848</v>
      </c>
      <c r="U309" s="17" t="s">
        <v>848</v>
      </c>
      <c r="V309" s="17" t="s">
        <v>849</v>
      </c>
      <c r="W309" s="17">
        <v>9</v>
      </c>
      <c r="X309" s="17" t="s">
        <v>2654</v>
      </c>
      <c r="Y309" s="17" t="s">
        <v>851</v>
      </c>
      <c r="Z309" s="17" t="s">
        <v>2810</v>
      </c>
      <c r="AA309" s="17" t="s">
        <v>2811</v>
      </c>
      <c r="AB309" s="17"/>
      <c r="AC309" s="17"/>
      <c r="AD309" s="17"/>
      <c r="AE309" s="17"/>
    </row>
    <row r="310" spans="1:31" ht="35.25" customHeight="1">
      <c r="A310" s="21" t="s">
        <v>2812</v>
      </c>
      <c r="B310" s="53" t="s">
        <v>2813</v>
      </c>
      <c r="C310" s="17" t="s">
        <v>2814</v>
      </c>
      <c r="D310" s="17" t="s">
        <v>2815</v>
      </c>
      <c r="E310" s="85" t="s">
        <v>2816</v>
      </c>
      <c r="F310" s="17" t="s">
        <v>54</v>
      </c>
      <c r="G310" s="17" t="s">
        <v>2817</v>
      </c>
      <c r="H310" s="17" t="s">
        <v>2818</v>
      </c>
      <c r="I310" s="17" t="s">
        <v>423</v>
      </c>
      <c r="J310" s="17" t="s">
        <v>2819</v>
      </c>
      <c r="K310" s="17" t="s">
        <v>16</v>
      </c>
      <c r="L310" s="17" t="s">
        <v>847</v>
      </c>
      <c r="M310" s="17" t="s">
        <v>847</v>
      </c>
      <c r="N310" s="17" t="s">
        <v>60</v>
      </c>
      <c r="O310" s="17" t="s">
        <v>849</v>
      </c>
      <c r="P310" s="17" t="s">
        <v>849</v>
      </c>
      <c r="Q310" s="17" t="s">
        <v>849</v>
      </c>
      <c r="R310" s="17" t="s">
        <v>849</v>
      </c>
      <c r="S310" s="17" t="s">
        <v>849</v>
      </c>
      <c r="T310" s="17" t="s">
        <v>849</v>
      </c>
      <c r="U310" s="17" t="s">
        <v>849</v>
      </c>
      <c r="V310" s="17" t="s">
        <v>849</v>
      </c>
      <c r="W310" s="17">
        <v>16</v>
      </c>
      <c r="X310" s="17" t="s">
        <v>2634</v>
      </c>
      <c r="Y310" s="17" t="s">
        <v>2820</v>
      </c>
      <c r="Z310" s="17" t="s">
        <v>2821</v>
      </c>
      <c r="AA310" s="17" t="s">
        <v>2822</v>
      </c>
      <c r="AB310" s="17"/>
      <c r="AC310" s="17"/>
      <c r="AD310" s="17"/>
      <c r="AE310" s="17"/>
    </row>
    <row r="311" spans="1:31" ht="35.25" customHeight="1">
      <c r="A311" s="21" t="s">
        <v>2823</v>
      </c>
      <c r="B311" s="53" t="s">
        <v>2824</v>
      </c>
      <c r="C311" s="17" t="s">
        <v>2825</v>
      </c>
      <c r="D311" s="17" t="s">
        <v>2761</v>
      </c>
      <c r="E311" s="85" t="s">
        <v>541</v>
      </c>
      <c r="F311" s="17" t="s">
        <v>2826</v>
      </c>
      <c r="G311" s="17" t="s">
        <v>2827</v>
      </c>
      <c r="H311" s="17" t="s">
        <v>2828</v>
      </c>
      <c r="I311" s="17" t="s">
        <v>423</v>
      </c>
      <c r="J311" s="17" t="s">
        <v>2829</v>
      </c>
      <c r="K311" s="17" t="s">
        <v>16</v>
      </c>
      <c r="L311" s="17" t="s">
        <v>847</v>
      </c>
      <c r="M311" s="17" t="s">
        <v>847</v>
      </c>
      <c r="N311" s="17" t="s">
        <v>2622</v>
      </c>
      <c r="O311" s="17" t="s">
        <v>848</v>
      </c>
      <c r="P311" s="17" t="s">
        <v>848</v>
      </c>
      <c r="Q311" s="17" t="s">
        <v>848</v>
      </c>
      <c r="R311" s="17" t="s">
        <v>848</v>
      </c>
      <c r="S311" s="17" t="s">
        <v>848</v>
      </c>
      <c r="T311" s="17" t="s">
        <v>848</v>
      </c>
      <c r="U311" s="17" t="s">
        <v>848</v>
      </c>
      <c r="V311" s="17" t="s">
        <v>848</v>
      </c>
      <c r="W311" s="17">
        <v>9</v>
      </c>
      <c r="X311" s="17" t="s">
        <v>2654</v>
      </c>
      <c r="Y311" s="17" t="s">
        <v>851</v>
      </c>
      <c r="Z311" s="17" t="s">
        <v>2830</v>
      </c>
      <c r="AA311" s="17" t="s">
        <v>2831</v>
      </c>
      <c r="AB311" s="17"/>
      <c r="AC311" s="17"/>
      <c r="AD311" s="17"/>
      <c r="AE311" s="17"/>
    </row>
    <row r="312" spans="1:31" ht="35.25" customHeight="1">
      <c r="A312" s="21" t="s">
        <v>2832</v>
      </c>
      <c r="B312" s="53" t="s">
        <v>2833</v>
      </c>
      <c r="C312" s="17" t="s">
        <v>2834</v>
      </c>
      <c r="D312" s="17" t="s">
        <v>2835</v>
      </c>
      <c r="E312" s="85" t="s">
        <v>2836</v>
      </c>
      <c r="F312" s="17" t="s">
        <v>2837</v>
      </c>
      <c r="G312" s="17" t="s">
        <v>2838</v>
      </c>
      <c r="H312" s="17" t="s">
        <v>2839</v>
      </c>
      <c r="I312" s="17" t="s">
        <v>341</v>
      </c>
      <c r="J312" s="17" t="s">
        <v>2840</v>
      </c>
      <c r="K312" s="17" t="s">
        <v>16</v>
      </c>
      <c r="L312" s="17" t="s">
        <v>847</v>
      </c>
      <c r="M312" s="17" t="s">
        <v>847</v>
      </c>
      <c r="N312" s="17" t="s">
        <v>60</v>
      </c>
      <c r="O312" s="17" t="s">
        <v>848</v>
      </c>
      <c r="P312" s="17" t="s">
        <v>848</v>
      </c>
      <c r="Q312" s="17" t="s">
        <v>848</v>
      </c>
      <c r="R312" s="17" t="s">
        <v>848</v>
      </c>
      <c r="S312" s="17" t="s">
        <v>848</v>
      </c>
      <c r="T312" s="17" t="s">
        <v>848</v>
      </c>
      <c r="U312" s="17" t="s">
        <v>848</v>
      </c>
      <c r="V312" s="17" t="s">
        <v>848</v>
      </c>
      <c r="W312" s="17">
        <v>9</v>
      </c>
      <c r="X312" s="17" t="s">
        <v>2654</v>
      </c>
      <c r="Y312" s="17" t="s">
        <v>2655</v>
      </c>
      <c r="Z312" s="17" t="s">
        <v>2841</v>
      </c>
      <c r="AA312" s="17" t="s">
        <v>2842</v>
      </c>
      <c r="AB312" s="17"/>
      <c r="AC312" s="17"/>
      <c r="AD312" s="17"/>
      <c r="AE312" s="17"/>
    </row>
    <row r="313" spans="1:31" ht="35.25" customHeight="1">
      <c r="A313" s="21" t="s">
        <v>2843</v>
      </c>
      <c r="B313" s="53" t="s">
        <v>2844</v>
      </c>
      <c r="C313" s="17" t="s">
        <v>2845</v>
      </c>
      <c r="D313" s="17" t="s">
        <v>2846</v>
      </c>
      <c r="E313" s="85" t="s">
        <v>459</v>
      </c>
      <c r="F313" s="17" t="s">
        <v>35</v>
      </c>
      <c r="G313" s="17" t="s">
        <v>2847</v>
      </c>
      <c r="H313" s="17" t="s">
        <v>2848</v>
      </c>
      <c r="I313" s="17" t="s">
        <v>232</v>
      </c>
      <c r="J313" s="17" t="s">
        <v>2849</v>
      </c>
      <c r="K313" s="17" t="s">
        <v>16</v>
      </c>
      <c r="L313" s="17" t="s">
        <v>847</v>
      </c>
      <c r="M313" s="17" t="s">
        <v>847</v>
      </c>
      <c r="N313" s="17" t="s">
        <v>60</v>
      </c>
      <c r="O313" s="17" t="s">
        <v>849</v>
      </c>
      <c r="P313" s="17" t="s">
        <v>849</v>
      </c>
      <c r="Q313" s="17" t="s">
        <v>849</v>
      </c>
      <c r="R313" s="17" t="s">
        <v>849</v>
      </c>
      <c r="S313" s="17" t="s">
        <v>849</v>
      </c>
      <c r="T313" s="17" t="s">
        <v>849</v>
      </c>
      <c r="U313" s="17" t="s">
        <v>849</v>
      </c>
      <c r="V313" s="17" t="s">
        <v>849</v>
      </c>
      <c r="W313" s="17">
        <v>12</v>
      </c>
      <c r="X313" s="17" t="s">
        <v>2654</v>
      </c>
      <c r="Y313" s="17" t="s">
        <v>851</v>
      </c>
      <c r="Z313" s="17" t="s">
        <v>2850</v>
      </c>
      <c r="AA313" s="17" t="s">
        <v>2851</v>
      </c>
      <c r="AB313" s="17"/>
      <c r="AC313" s="17"/>
      <c r="AD313" s="17"/>
      <c r="AE313" s="17"/>
    </row>
    <row r="314" spans="1:31" ht="35.25" customHeight="1">
      <c r="A314" s="21" t="s">
        <v>2852</v>
      </c>
      <c r="B314" s="53" t="s">
        <v>2853</v>
      </c>
      <c r="C314" s="17" t="s">
        <v>2854</v>
      </c>
      <c r="D314" s="17" t="s">
        <v>2835</v>
      </c>
      <c r="E314" s="85" t="s">
        <v>2797</v>
      </c>
      <c r="F314" s="17" t="s">
        <v>32</v>
      </c>
      <c r="G314" s="17" t="s">
        <v>2855</v>
      </c>
      <c r="H314" s="17" t="s">
        <v>2856</v>
      </c>
      <c r="I314" s="17" t="s">
        <v>2800</v>
      </c>
      <c r="J314" s="17" t="s">
        <v>2857</v>
      </c>
      <c r="K314" s="17" t="s">
        <v>16</v>
      </c>
      <c r="L314" s="17" t="s">
        <v>847</v>
      </c>
      <c r="M314" s="17" t="s">
        <v>847</v>
      </c>
      <c r="N314" s="17" t="s">
        <v>60</v>
      </c>
      <c r="O314" s="17" t="s">
        <v>849</v>
      </c>
      <c r="P314" s="17" t="s">
        <v>849</v>
      </c>
      <c r="Q314" s="17" t="s">
        <v>849</v>
      </c>
      <c r="R314" s="17" t="s">
        <v>849</v>
      </c>
      <c r="S314" s="17" t="s">
        <v>849</v>
      </c>
      <c r="T314" s="17" t="s">
        <v>849</v>
      </c>
      <c r="U314" s="17" t="s">
        <v>849</v>
      </c>
      <c r="V314" s="17" t="s">
        <v>849</v>
      </c>
      <c r="W314" s="17">
        <v>16</v>
      </c>
      <c r="X314" s="17" t="s">
        <v>2634</v>
      </c>
      <c r="Y314" s="17" t="s">
        <v>2655</v>
      </c>
      <c r="Z314" s="17" t="s">
        <v>2858</v>
      </c>
      <c r="AA314" s="17" t="s">
        <v>2859</v>
      </c>
      <c r="AB314" s="17"/>
      <c r="AC314" s="17"/>
      <c r="AD314" s="17"/>
      <c r="AE314" s="17"/>
    </row>
    <row r="315" spans="1:31" ht="35.25" customHeight="1">
      <c r="A315" s="21" t="s">
        <v>2860</v>
      </c>
      <c r="B315" s="28" t="s">
        <v>2861</v>
      </c>
      <c r="C315" s="26" t="s">
        <v>2862</v>
      </c>
      <c r="D315" s="26" t="s">
        <v>2863</v>
      </c>
      <c r="E315" s="85" t="s">
        <v>2864</v>
      </c>
      <c r="F315" s="26" t="s">
        <v>2865</v>
      </c>
      <c r="G315" s="26" t="s">
        <v>2866</v>
      </c>
      <c r="H315" s="26" t="s">
        <v>2867</v>
      </c>
      <c r="I315" s="26" t="s">
        <v>2800</v>
      </c>
      <c r="J315" s="26" t="s">
        <v>2868</v>
      </c>
      <c r="K315" s="26" t="s">
        <v>16</v>
      </c>
      <c r="L315" s="26" t="s">
        <v>847</v>
      </c>
      <c r="M315" s="26" t="s">
        <v>847</v>
      </c>
      <c r="N315" s="26" t="s">
        <v>2709</v>
      </c>
      <c r="O315" s="26" t="s">
        <v>849</v>
      </c>
      <c r="P315" s="26" t="s">
        <v>848</v>
      </c>
      <c r="Q315" s="26" t="s">
        <v>848</v>
      </c>
      <c r="R315" s="26" t="s">
        <v>848</v>
      </c>
      <c r="S315" s="26" t="s">
        <v>849</v>
      </c>
      <c r="T315" s="26" t="s">
        <v>849</v>
      </c>
      <c r="U315" s="26" t="s">
        <v>849</v>
      </c>
      <c r="V315" s="26" t="s">
        <v>849</v>
      </c>
      <c r="W315" s="26">
        <v>14</v>
      </c>
      <c r="X315" s="26" t="s">
        <v>2634</v>
      </c>
      <c r="Y315" s="26" t="s">
        <v>851</v>
      </c>
      <c r="Z315" s="26" t="s">
        <v>2869</v>
      </c>
      <c r="AA315" s="26" t="s">
        <v>2870</v>
      </c>
      <c r="AB315" s="26"/>
      <c r="AC315" s="26"/>
      <c r="AD315" s="26"/>
      <c r="AE315" s="26"/>
    </row>
  </sheetData>
  <sheetProtection autoFilter="0"/>
  <phoneticPr fontId="30" type="noConversion"/>
  <conditionalFormatting sqref="B216:B232">
    <cfRule type="colorScale" priority="57">
      <colorScale>
        <cfvo type="min"/>
        <cfvo type="percentile" val="50"/>
        <cfvo type="max"/>
        <color theme="4"/>
        <color rgb="FF7030A0"/>
        <color rgb="FF63BE7B"/>
      </colorScale>
    </cfRule>
  </conditionalFormatting>
  <conditionalFormatting sqref="I157:J174 AB160:AC161 AB165:AC166 AB198:AC198 J221:J222">
    <cfRule type="containsText" dxfId="63" priority="56" operator="containsText" text="Não">
      <formula>NOT(ISERROR(SEARCH("Não",I157)))</formula>
    </cfRule>
  </conditionalFormatting>
  <conditionalFormatting sqref="L2:N13 T2:W77">
    <cfRule type="containsText" dxfId="62" priority="3" operator="containsText" text="Não">
      <formula>NOT(ISERROR(SEARCH("Não",L2)))</formula>
    </cfRule>
  </conditionalFormatting>
  <conditionalFormatting sqref="O78:O80 Q80:Q84 O82:O83 O85:O86 Q89 O89:O90 Q91:Q93 O95:O97 Q96 O99:O100 Q100 Q102 O102:O103 Q104:Q106 O143:O146 O149:O150 Q149:Q174 O153:O156 O158:O159 O165 O169:O171 O180:O182 O187:O190 O194 O198:O200 Q198:Q200 Q204 O205:O212 O214:O221 Q215:Q226 U216:U229 O225:O228 P227:Q228 Q229:Q231 O230 O233:O235 Q233:Q288 U241:U251 O244:O248">
    <cfRule type="containsText" dxfId="61" priority="52" operator="containsText" text="Não">
      <formula>NOT(ISERROR(SEARCH("Não",O78)))</formula>
    </cfRule>
  </conditionalFormatting>
  <conditionalFormatting sqref="O254:O257">
    <cfRule type="containsText" dxfId="60" priority="39" operator="containsText" text="Não">
      <formula>NOT(ISERROR(SEARCH("Não",O254)))</formula>
    </cfRule>
  </conditionalFormatting>
  <conditionalFormatting sqref="O261:O288">
    <cfRule type="containsText" dxfId="59" priority="32" operator="containsText" text="Não">
      <formula>NOT(ISERROR(SEARCH("Não",O261)))</formula>
    </cfRule>
  </conditionalFormatting>
  <conditionalFormatting sqref="O2:S77">
    <cfRule type="containsText" dxfId="58" priority="1" operator="containsText" text="Não">
      <formula>NOT(ISERROR(SEARCH("Não",O2)))</formula>
    </cfRule>
  </conditionalFormatting>
  <conditionalFormatting sqref="P258">
    <cfRule type="containsText" dxfId="57" priority="31" operator="containsText" text="Não">
      <formula>NOT(ISERROR(SEARCH("Não",P258)))</formula>
    </cfRule>
  </conditionalFormatting>
  <conditionalFormatting sqref="P263:P275">
    <cfRule type="containsText" dxfId="56" priority="30" operator="containsText" text="Não">
      <formula>NOT(ISERROR(SEARCH("Não",P263)))</formula>
    </cfRule>
  </conditionalFormatting>
  <conditionalFormatting sqref="P279:P288">
    <cfRule type="containsText" dxfId="55" priority="29" operator="containsText" text="Não">
      <formula>NOT(ISERROR(SEARCH("Não",P279)))</formula>
    </cfRule>
  </conditionalFormatting>
  <conditionalFormatting sqref="P78:Q79 R78:U93 AB78:AC108 V78:V156 W78:AA193 P80:P84 P85:Q88 P89 P90:Q90 O91:P93 O94:U94 P95:U95 P96 R96:U100 P97:Q97 O98:Q98 P99:Q99 P100 S100:S200 O101:Q101 U101:U156 T101:T170 R101:R200 P102 P103:Q103 O104:P104 P105:P106 O105:O141 P107:Q146 AB126:AC156 N147:Q147 P147:P175 O148:Q148 AB168:AC194 U171 T172:T179 P176:Q194 U180 T181:T199 U185:V194 Z194:AA196 W194:Y256 Z198:AA198 Z200:AA204 AB201:AC210 R201:T229 P202:P210 U202:V210 Q206:Q211 Z207:AA214 P215:P226 Z216:AA219 AB216:AC251 Z221:AA221 Z223:AA225 Z228:AA232 O229:P229 P230:P231 R230:U240 P232:Q232 P233:P236 Z234:AA235 Z237:AA238 O237:P243 Z240:AA246 R241:S256 P244:P256 Z248:AA248 Z250:AA250 O250:O251 Z252:AA256 Z259:AA259 Z261:AA266 Z268:AA268 Z271:AA274 Z276:AA278 Z280:AA282 Z284:AA288">
    <cfRule type="containsText" dxfId="54" priority="54" operator="containsText" text="Não">
      <formula>NOT(ISERROR(SEARCH("Não",N78)))</formula>
    </cfRule>
  </conditionalFormatting>
  <conditionalFormatting sqref="Q195:Q196">
    <cfRule type="containsText" dxfId="53" priority="42" operator="containsText" text="Não">
      <formula>NOT(ISERROR(SEARCH("Não",Q195)))</formula>
    </cfRule>
  </conditionalFormatting>
  <conditionalFormatting sqref="Q213">
    <cfRule type="containsText" dxfId="52" priority="41" operator="containsText" text="Não">
      <formula>NOT(ISERROR(SEARCH("Não",Q213)))</formula>
    </cfRule>
  </conditionalFormatting>
  <conditionalFormatting sqref="R257:R275">
    <cfRule type="containsText" dxfId="51" priority="20" operator="containsText" text="Não">
      <formula>NOT(ISERROR(SEARCH("Não",R257)))</formula>
    </cfRule>
  </conditionalFormatting>
  <conditionalFormatting sqref="R277:R283">
    <cfRule type="containsText" dxfId="50" priority="24" operator="containsText" text="Não">
      <formula>NOT(ISERROR(SEARCH("Não",R277)))</formula>
    </cfRule>
  </conditionalFormatting>
  <conditionalFormatting sqref="R285:R288">
    <cfRule type="containsText" dxfId="49" priority="28" operator="containsText" text="Não">
      <formula>NOT(ISERROR(SEARCH("Não",R285)))</formula>
    </cfRule>
  </conditionalFormatting>
  <conditionalFormatting sqref="R276:S276">
    <cfRule type="containsText" dxfId="48" priority="23" operator="containsText" text="Não">
      <formula>NOT(ISERROR(SEARCH("Não",R276)))</formula>
    </cfRule>
  </conditionalFormatting>
  <conditionalFormatting sqref="S257:S275">
    <cfRule type="containsText" dxfId="47" priority="14" operator="containsText" text="Não">
      <formula>NOT(ISERROR(SEARCH("Não",S257)))</formula>
    </cfRule>
  </conditionalFormatting>
  <conditionalFormatting sqref="S277:S288">
    <cfRule type="containsText" dxfId="46" priority="12" operator="containsText" text="Não">
      <formula>NOT(ISERROR(SEARCH("Não",S277)))</formula>
    </cfRule>
  </conditionalFormatting>
  <conditionalFormatting sqref="T241:T283 U257:U281">
    <cfRule type="containsText" dxfId="45" priority="11" operator="containsText" text="Não">
      <formula>NOT(ISERROR(SEARCH("Não",T241)))</formula>
    </cfRule>
  </conditionalFormatting>
  <conditionalFormatting sqref="T285:T288 U286:U288">
    <cfRule type="containsText" dxfId="44" priority="10" operator="containsText" text="Não">
      <formula>NOT(ISERROR(SEARCH("Não",T285)))</formula>
    </cfRule>
  </conditionalFormatting>
  <conditionalFormatting sqref="U283">
    <cfRule type="containsText" dxfId="43" priority="8" operator="containsText" text="Não">
      <formula>NOT(ISERROR(SEARCH("Não",U283)))</formula>
    </cfRule>
  </conditionalFormatting>
  <conditionalFormatting sqref="U282:V282">
    <cfRule type="containsText" dxfId="42" priority="7" operator="containsText" text="Não">
      <formula>NOT(ISERROR(SEARCH("Não",U282)))</formula>
    </cfRule>
  </conditionalFormatting>
  <conditionalFormatting sqref="U285:V285">
    <cfRule type="containsText" dxfId="41" priority="9" operator="containsText" text="Não">
      <formula>NOT(ISERROR(SEARCH("Não",U285)))</formula>
    </cfRule>
  </conditionalFormatting>
  <conditionalFormatting sqref="V216:V256">
    <cfRule type="containsText" dxfId="40" priority="40" operator="containsText" text="Não">
      <formula>NOT(ISERROR(SEARCH("Não",V216)))</formula>
    </cfRule>
  </conditionalFormatting>
  <conditionalFormatting sqref="V259:V281">
    <cfRule type="containsText" dxfId="39" priority="6" operator="containsText" text="Não">
      <formula>NOT(ISERROR(SEARCH("Não",V259)))</formula>
    </cfRule>
  </conditionalFormatting>
  <conditionalFormatting sqref="V283">
    <cfRule type="containsText" dxfId="38" priority="5" operator="containsText" text="Não">
      <formula>NOT(ISERROR(SEARCH("Não",V283)))</formula>
    </cfRule>
  </conditionalFormatting>
  <conditionalFormatting sqref="V286:V288">
    <cfRule type="containsText" dxfId="37" priority="4" operator="containsText" text="Não">
      <formula>NOT(ISERROR(SEARCH("Não",V286)))</formula>
    </cfRule>
  </conditionalFormatting>
  <conditionalFormatting sqref="Y2:AA77 K14:N315">
    <cfRule type="containsText" dxfId="36" priority="2" operator="containsText" text="Não">
      <formula>NOT(ISERROR(SEARCH("Não",K2)))</formula>
    </cfRule>
  </conditionalFormatting>
  <conditionalFormatting sqref="AF87:AG90">
    <cfRule type="containsText" dxfId="35" priority="55" operator="containsText" text="Não">
      <formula>NOT(ISERROR(SEARCH("Não",AF87)))</formula>
    </cfRule>
  </conditionalFormatting>
  <hyperlinks>
    <hyperlink ref="O299" r:id="rId1" tooltip="https://www.fastly.com/blog/new-2025-owasp-top-10-list-what-changed-what-you-need-to-know" xr:uid="{138F46ED-3AF0-4B90-88CC-3211761CFE75}"/>
  </hyperlinks>
  <pageMargins left="0.511811024" right="0.511811024" top="0.78740157499999996" bottom="0.78740157499999996" header="0.31496062000000002" footer="0.31496062000000002"/>
  <pageSetup paperSize="9" orientation="portrait" r:id="rId2"/>
  <legacyDrawing r:id="rId3"/>
  <tableParts count="1">
    <tablePart r:id="rId4"/>
  </tableParts>
  <extLst>
    <ext xmlns:x14="http://schemas.microsoft.com/office/spreadsheetml/2009/9/main" uri="{CCE6A557-97BC-4b89-ADB6-D9C93CAAB3DF}">
      <x14:dataValidations xmlns:xm="http://schemas.microsoft.com/office/excel/2006/main" count="9">
        <x14:dataValidation type="list" allowBlank="1" showInputMessage="1" showErrorMessage="1" xr:uid="{531C6EA3-29C3-4269-86D0-C357BB34B7DC}">
          <x14:formula1>
            <xm:f>Formatação!$B$2:$B$7</xm:f>
          </x14:formula1>
          <xm:sqref>AE87:AE90 E233:E1048576 G233:G1048576 D289:D1048576</xm:sqref>
        </x14:dataValidation>
        <x14:dataValidation type="list" allowBlank="1" showInputMessage="1" showErrorMessage="1" xr:uid="{116A8E8D-B96C-425B-BF3D-247007C0AA21}">
          <x14:formula1>
            <xm:f>Formatação!$A$2:$A$41</xm:f>
          </x14:formula1>
          <xm:sqref>AD86:AD89 D78:D288</xm:sqref>
        </x14:dataValidation>
        <x14:dataValidation type="list" allowBlank="1" showInputMessage="1" showErrorMessage="1" xr:uid="{42CD9DA7-4F8F-4A07-AB4A-1790FD32CB68}">
          <x14:formula1>
            <xm:f>Formatação!$E$2:$E$4</xm:f>
          </x14:formula1>
          <xm:sqref>AF87:AG90</xm:sqref>
        </x14:dataValidation>
        <x14:dataValidation type="list" allowBlank="1" showInputMessage="1" showErrorMessage="1" xr:uid="{DB5FD24D-5F99-42D3-89DF-3D1BDC1584FA}">
          <x14:formula1>
            <xm:f>Formatação!$E$2:$E$3</xm:f>
          </x14:formula1>
          <xm:sqref>K289:U1048576 AB257:AC1048576 K2:N77 K78:N315</xm:sqref>
        </x14:dataValidation>
        <x14:dataValidation type="list" allowBlank="1" showInputMessage="1" showErrorMessage="1" xr:uid="{071AFE7B-2CEF-4F6E-86BC-6ABE782D5AC4}">
          <x14:formula1>
            <xm:f>Formatação!$G$2:$G$8</xm:f>
          </x14:formula1>
          <xm:sqref>I259 I263:I264 I267:I269 I275 I280 I282 I284:I1048576</xm:sqref>
        </x14:dataValidation>
        <x14:dataValidation type="list" allowBlank="1" showInputMessage="1" showErrorMessage="1" xr:uid="{818DB77D-8902-4C1D-8602-AF31C8191D95}">
          <x14:formula1>
            <xm:f>Formatação!$G$2:$G$10</xm:f>
          </x14:formula1>
          <xm:sqref>I260:I262 I265:I266 I270:I274 I276:I279 I281 I283 I78:I258</xm:sqref>
        </x14:dataValidation>
        <x14:dataValidation type="list" allowBlank="1" showInputMessage="1" showErrorMessage="1" xr:uid="{EC46C450-5AF0-40A2-BF7E-58F7AB2A56F8}">
          <x14:formula1>
            <xm:f>Formatação!$F$2:$F$13</xm:f>
          </x14:formula1>
          <xm:sqref>J78:J1048576</xm:sqref>
        </x14:dataValidation>
        <x14:dataValidation type="list" allowBlank="1" showInputMessage="1" showErrorMessage="1" xr:uid="{7CC406B3-E500-46F8-9151-93C559383003}">
          <x14:formula1>
            <xm:f>Formatação!$C$2:$C$8</xm:f>
          </x14:formula1>
          <xm:sqref>F78:F1048576</xm:sqref>
        </x14:dataValidation>
        <x14:dataValidation type="list" allowBlank="1" showInputMessage="1" showErrorMessage="1" xr:uid="{777619B4-9AFA-4F14-A567-3C531D90D764}">
          <x14:formula1>
            <xm:f>Formatação!$D$2:$D$12</xm:f>
          </x14:formula1>
          <xm:sqref>H78:H1048576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ipodeintegra_x00e7__x00e3_o xmlns="bdb46934-4e7f-4d18-a75c-ea058f21f8be" xsi:nil="true"/>
    <lcf76f155ced4ddcb4097134ff3c332f xmlns="bdb46934-4e7f-4d18-a75c-ea058f21f8be">
      <Terms xmlns="http://schemas.microsoft.com/office/infopath/2007/PartnerControls"/>
    </lcf76f155ced4ddcb4097134ff3c332f>
    <_ip_UnifiedCompliancePolicyProperties xmlns="http://schemas.microsoft.com/sharepoint/v3" xsi:nil="true"/>
    <TaxCatchAll xmlns="050aa761-6dff-4644-aefc-8f1ce8d7dbdb" xsi:nil="true"/>
    <Tipodedados xmlns="bdb46934-4e7f-4d18-a75c-ea058f21f8be" xsi:nil="true"/>
    <Revis_x00e3_o xmlns="bdb46934-4e7f-4d18-a75c-ea058f21f8be"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62C23BD4A245104E8018C11818AA3EBA" ma:contentTypeVersion="38" ma:contentTypeDescription="Crie um novo documento." ma:contentTypeScope="" ma:versionID="ee238ed76aa592975e6b2274621dd011">
  <xsd:schema xmlns:xsd="http://www.w3.org/2001/XMLSchema" xmlns:xs="http://www.w3.org/2001/XMLSchema" xmlns:p="http://schemas.microsoft.com/office/2006/metadata/properties" xmlns:ns1="http://schemas.microsoft.com/sharepoint/v3" xmlns:ns2="bdb46934-4e7f-4d18-a75c-ea058f21f8be" xmlns:ns3="050aa761-6dff-4644-aefc-8f1ce8d7dbdb" targetNamespace="http://schemas.microsoft.com/office/2006/metadata/properties" ma:root="true" ma:fieldsID="9d2815891c00cd31aa217f0dccb9de6d" ns1:_="" ns2:_="" ns3:_="">
    <xsd:import namespace="http://schemas.microsoft.com/sharepoint/v3"/>
    <xsd:import namespace="bdb46934-4e7f-4d18-a75c-ea058f21f8be"/>
    <xsd:import namespace="050aa761-6dff-4644-aefc-8f1ce8d7db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Tipodeintegra_x00e7__x00e3_o" minOccurs="0"/>
                <xsd:element ref="ns2:Tipodedados" minOccurs="0"/>
                <xsd:element ref="ns3:SharedWithUsers" minOccurs="0"/>
                <xsd:element ref="ns3:SharedWithDetails" minOccurs="0"/>
                <xsd:element ref="ns2:MediaServiceAutoKeyPoints" minOccurs="0"/>
                <xsd:element ref="ns2:MediaServiceKeyPoint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element ref="ns2:Revis_x00e3_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riedades da Política de Conformidade Unificada" ma:hidden="true" ma:internalName="_ip_UnifiedCompliancePolicyProperties">
      <xsd:simpleType>
        <xsd:restriction base="dms:Note"/>
      </xsd:simpleType>
    </xsd:element>
    <xsd:element name="_ip_UnifiedCompliancePolicyUIAction" ma:index="23"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b46934-4e7f-4d18-a75c-ea058f21f8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Tipodeintegra_x00e7__x00e3_o" ma:index="16" nillable="true" ma:displayName="Tipo de integração" ma:format="Dropdown" ma:internalName="Tipodeintegra_x00e7__x00e3_o">
      <xsd:simpleType>
        <xsd:restriction base="dms:Text">
          <xsd:maxLength value="255"/>
        </xsd:restriction>
      </xsd:simpleType>
    </xsd:element>
    <xsd:element name="Tipodedados" ma:index="17" nillable="true" ma:displayName="Tipo de dados" ma:format="Dropdown" ma:internalName="Tipodedados">
      <xsd:simpleType>
        <xsd:restriction base="dms:Text">
          <xsd:maxLength value="255"/>
        </xsd:restriction>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Marcações de imagem" ma:readOnly="false" ma:fieldId="{5cf76f15-5ced-4ddc-b409-7134ff3c332f}" ma:taxonomyMulti="true" ma:sspId="3ebd722c-8eea-4fa2-a257-8118360c8ea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Revis_x00e3_o" ma:index="29" nillable="true" ma:displayName="Revisão" ma:format="Dropdown" ma:internalName="Revis_x00e3_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0aa761-6dff-4644-aefc-8f1ce8d7dbdb" elementFormDefault="qualified">
    <xsd:import namespace="http://schemas.microsoft.com/office/2006/documentManagement/types"/>
    <xsd:import namespace="http://schemas.microsoft.com/office/infopath/2007/PartnerControls"/>
    <xsd:element name="SharedWithUsers" ma:index="1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hes de Compartilhado Com" ma:internalName="SharedWithDetails" ma:readOnly="true">
      <xsd:simpleType>
        <xsd:restriction base="dms:Note">
          <xsd:maxLength value="255"/>
        </xsd:restriction>
      </xsd:simpleType>
    </xsd:element>
    <xsd:element name="TaxCatchAll" ma:index="26" nillable="true" ma:displayName="Taxonomy Catch All Column" ma:hidden="true" ma:list="{39C7C10B-0C0B-43C0-9B10-C87F0A08CA60}" ma:internalName="TaxCatchAll" ma:showField="CatchAllData" ma:web="{9c5fb95f-86cd-4055-9163-9921d42e52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ECF2F6-997A-41EB-9887-A8651ADD8AB9}"/>
</file>

<file path=customXml/itemProps2.xml><?xml version="1.0" encoding="utf-8"?>
<ds:datastoreItem xmlns:ds="http://schemas.openxmlformats.org/officeDocument/2006/customXml" ds:itemID="{178CDF98-167B-4476-8013-ECA54C830683}"/>
</file>

<file path=customXml/itemProps3.xml><?xml version="1.0" encoding="utf-8"?>
<ds:datastoreItem xmlns:ds="http://schemas.openxmlformats.org/officeDocument/2006/customXml" ds:itemID="{5930A8FE-4D03-4C54-9093-9B228EB30094}"/>
</file>

<file path=customXml/itemProps4.xml><?xml version="1.0" encoding="utf-8"?>
<ds:datastoreItem xmlns:ds="http://schemas.openxmlformats.org/officeDocument/2006/customXml" ds:itemID="{DE4AD972-7F1C-4022-9A0D-6C0276E2DAE1}"/>
</file>

<file path=docMetadata/LabelInfo.xml><?xml version="1.0" encoding="utf-8"?>
<clbl:labelList xmlns:clbl="http://schemas.microsoft.com/office/2020/mipLabelMetadata">
  <clbl:label id="{f27cb1b6-4159-4a38-a94b-cbd1c10c7376}" enabled="1" method="Privileged" siteId="{9744600e-3e04-492e-baa1-25ec245c6f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Reginaldo De Araujo Barreto</dc:creator>
  <cp:keywords/>
  <dc:description/>
  <cp:lastModifiedBy/>
  <cp:revision/>
  <dcterms:created xsi:type="dcterms:W3CDTF">2025-01-24T21:35:08Z</dcterms:created>
  <dcterms:modified xsi:type="dcterms:W3CDTF">2026-06-30T19:25:16Z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0x01010062C23BD4A245104E8018C11818AA3EBA</vt:lpwstr>
  </property>
  <property fmtid="{D5CDD505-2E9C-101B-9397-08002B2CF9AE}" pid="3" name="MediaServiceImageTags">
    <vt:lpwstr/>
  </property>
</Properties>
</file>